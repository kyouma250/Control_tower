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KU Data" sheetId="2" state="visible" r:id="rId4"/>
    <sheet name="Classification" sheetId="3" state="visible" r:id="rId5"/>
    <sheet name="Policy &amp; Inventory" sheetId="4" state="visible" r:id="rId6"/>
    <sheet name="Metrics 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<sst xmlns="http://schemas.openxmlformats.org/spreadsheetml/2006/main" count="228" uniqueCount="168">
  <si>
    <t xml:space="preserve">Asian Paints  |  Chain Reaction - Round 1</t>
  </si>
  <si>
    <t xml:space="preserve">Lifecycle-Driven Inventory Model (illustrative)</t>
  </si>
  <si>
    <t xml:space="preserve">WHAT THIS IS</t>
  </si>
  <si>
    <t xml:space="preserve">A working demo of a lifecycle-driven inventory framework on an illustrative 20-SKU</t>
  </si>
  <si>
    <t xml:space="preserve">portfolio using real Asian Paints product names. Data is synthetic - replace the blue</t>
  </si>
  <si>
    <t xml:space="preserve">cells with real SKU volumes to run it for real.</t>
  </si>
  <si>
    <t xml:space="preserve">FLOW</t>
  </si>
  <si>
    <t xml:space="preserve">1) SKU Data  -&gt;  2) Classification  -&gt;  3) Policy &amp; Inventory  -&gt;  4) Metrics Dashboard.</t>
  </si>
  <si>
    <t xml:space="preserve">Live formulas: change a volume and the SKU re-classifies, its policy re-selects, and</t>
  </si>
  <si>
    <t xml:space="preserve">the working-capital number updates automatically.</t>
  </si>
  <si>
    <t xml:space="preserve">SAFETY STOCK</t>
  </si>
  <si>
    <t xml:space="preserve">Formula-driven: SS = z x sigma x sqrt(Lead Time).  z = service-level factor</t>
  </si>
  <si>
    <t xml:space="preserve">(NORMSINV of the stage's fill-rate target); sigma = demand volatility; LT = lead time.</t>
  </si>
  <si>
    <t xml:space="preserve">A volatile launch auto-gets a big buffer; a stable mature SKU auto-gets a small one -</t>
  </si>
  <si>
    <t xml:space="preserve">the differentiation falls out of the maths, it is not hand-picked.</t>
  </si>
  <si>
    <t xml:space="preserve">POLICY LEVERS</t>
  </si>
  <si>
    <t xml:space="preserve">Lifecycle STAGE sets: service target (z), lead time, cycle-stock cadence, deploy mode,</t>
  </si>
  <si>
    <t xml:space="preserve">and distribution reach.  Cycle/reorder days are policy choices; safety stock is computed.</t>
  </si>
  <si>
    <t xml:space="preserve">BASELINE</t>
  </si>
  <si>
    <t xml:space="preserve">'One-size' = a flat finished-goods days-of-cover applied to every SKU (status quo).</t>
  </si>
  <si>
    <t xml:space="preserve">Company DIO ~118 days includes RM/WIP/pipeline and is NOT comparable to FG cover.</t>
  </si>
  <si>
    <t xml:space="preserve">HOW TO READ</t>
  </si>
  <si>
    <t xml:space="preserve">Blue = editable input.  Black = formula.  Yellow = assumptions/thresholds.</t>
  </si>
  <si>
    <t xml:space="preserve">CAVEAT</t>
  </si>
  <si>
    <t xml:space="preserve">Impact figures are illustrative, on the finished-goods buffer - directional, not a</t>
  </si>
  <si>
    <t xml:space="preserve">company-wide guarantee.  Real deployment adds hysteresis + SKU x region granularity.</t>
  </si>
  <si>
    <t xml:space="preserve">SKU DATA - illustrative (edit blue cells)</t>
  </si>
  <si>
    <t xml:space="preserve">Monthly volume (KL) - trailing 24 months / 8 quarters (col 1 = oldest)</t>
  </si>
  <si>
    <t xml:space="preserve">SKU ID</t>
  </si>
  <si>
    <t xml:space="preserve">SKU Name</t>
  </si>
  <si>
    <t xml:space="preserve">Category</t>
  </si>
  <si>
    <t xml:space="preserve">Launch</t>
  </si>
  <si>
    <t xml:space="preserve">Age (mo)</t>
  </si>
  <si>
    <t xml:space="preserve">Shelf life (mo)</t>
  </si>
  <si>
    <t xml:space="preserve">Unit cost (Rs/L)</t>
  </si>
  <si>
    <t xml:space="preserve">Svc class</t>
  </si>
  <si>
    <t xml:space="preserve">Reach (/160)</t>
  </si>
  <si>
    <t xml:space="preserve">Phase-out?</t>
  </si>
  <si>
    <t xml:space="preserve">SKU01</t>
  </si>
  <si>
    <t xml:space="preserve">Neo Bharat Latex Emulsion</t>
  </si>
  <si>
    <t xml:space="preserve">Interior emulsion (value)</t>
  </si>
  <si>
    <t xml:space="preserve">B</t>
  </si>
  <si>
    <t xml:space="preserve">N</t>
  </si>
  <si>
    <t xml:space="preserve">SKU02</t>
  </si>
  <si>
    <t xml:space="preserve">Royale Health Shield</t>
  </si>
  <si>
    <t xml:space="preserve">Interior emulsion (premium)</t>
  </si>
  <si>
    <t xml:space="preserve">A</t>
  </si>
  <si>
    <t xml:space="preserve">SKU03</t>
  </si>
  <si>
    <t xml:space="preserve">SmartCare Dampproof Ultra</t>
  </si>
  <si>
    <t xml:space="preserve">Waterproofing</t>
  </si>
  <si>
    <t xml:space="preserve">SKU04</t>
  </si>
  <si>
    <t xml:space="preserve">Beautiful Home Texture - Marrakesh</t>
  </si>
  <si>
    <t xml:space="preserve">Textures (decor)</t>
  </si>
  <si>
    <t xml:space="preserve">C</t>
  </si>
  <si>
    <t xml:space="preserve">SKU05</t>
  </si>
  <si>
    <t xml:space="preserve">SmartCare Damp Block</t>
  </si>
  <si>
    <t xml:space="preserve">SKU06</t>
  </si>
  <si>
    <t xml:space="preserve">Apcolite All Protek Enamel</t>
  </si>
  <si>
    <t xml:space="preserve">Enamel</t>
  </si>
  <si>
    <t xml:space="preserve">SKU07</t>
  </si>
  <si>
    <t xml:space="preserve">TruCare Wall Putty</t>
  </si>
  <si>
    <t xml:space="preserve">Putty / ancillary</t>
  </si>
  <si>
    <t xml:space="preserve">SKU08</t>
  </si>
  <si>
    <t xml:space="preserve">Royale Aspira</t>
  </si>
  <si>
    <t xml:space="preserve">SKU09</t>
  </si>
  <si>
    <t xml:space="preserve">Apcolite Premium Emulsion</t>
  </si>
  <si>
    <t xml:space="preserve">Interior emulsion</t>
  </si>
  <si>
    <t xml:space="preserve">SKU10</t>
  </si>
  <si>
    <t xml:space="preserve">Tractor Emulsion Sparc</t>
  </si>
  <si>
    <t xml:space="preserve">Interior emulsion (economy)</t>
  </si>
  <si>
    <t xml:space="preserve">SKU11</t>
  </si>
  <si>
    <t xml:space="preserve">Apex Ultima Exterior</t>
  </si>
  <si>
    <t xml:space="preserve">Exterior emulsion (premium)</t>
  </si>
  <si>
    <t xml:space="preserve">SKU12</t>
  </si>
  <si>
    <t xml:space="preserve">Ace Exterior Emulsion</t>
  </si>
  <si>
    <t xml:space="preserve">Exterior emulsion (economy)</t>
  </si>
  <si>
    <t xml:space="preserve">SKU13</t>
  </si>
  <si>
    <t xml:space="preserve">Royale Luxury Emulsion</t>
  </si>
  <si>
    <t xml:space="preserve">SKU14</t>
  </si>
  <si>
    <t xml:space="preserve">Utsav Distemper</t>
  </si>
  <si>
    <t xml:space="preserve">Distemper</t>
  </si>
  <si>
    <t xml:space="preserve">SKU15</t>
  </si>
  <si>
    <t xml:space="preserve">Apex (legacy exterior)</t>
  </si>
  <si>
    <t xml:space="preserve">Exterior emulsion (legacy)</t>
  </si>
  <si>
    <t xml:space="preserve">SKU16</t>
  </si>
  <si>
    <t xml:space="preserve">Apcolite Synthetic Enamel</t>
  </si>
  <si>
    <t xml:space="preserve">Enamel (solvent-based)</t>
  </si>
  <si>
    <t xml:space="preserve">SKU17</t>
  </si>
  <si>
    <t xml:space="preserve">Woodtech Melamine (older)</t>
  </si>
  <si>
    <t xml:space="preserve">Wood finish (legacy)</t>
  </si>
  <si>
    <t xml:space="preserve">SKU18</t>
  </si>
  <si>
    <t xml:space="preserve">Discontinued Shade Family R</t>
  </si>
  <si>
    <t xml:space="preserve">Interior emulsion (legacy)</t>
  </si>
  <si>
    <t xml:space="preserve">Y</t>
  </si>
  <si>
    <t xml:space="preserve">SKU19</t>
  </si>
  <si>
    <t xml:space="preserve">Solvent Primer (legacy)</t>
  </si>
  <si>
    <t xml:space="preserve">Undercoat (solvent)</t>
  </si>
  <si>
    <t xml:space="preserve">SKU20</t>
  </si>
  <si>
    <t xml:space="preserve">Regional Distemper (legacy)</t>
  </si>
  <si>
    <t xml:space="preserve">Distemper (regional)</t>
  </si>
  <si>
    <t xml:space="preserve">CLASSIFICATION - signals &amp; lifecycle stage (formulas)</t>
  </si>
  <si>
    <t xml:space="preserve">Velocity (KL/mo)</t>
  </si>
  <si>
    <t xml:space="preserve">CV</t>
  </si>
  <si>
    <t xml:space="preserve">Trend %/mo</t>
  </si>
  <si>
    <t xml:space="preserve">Growth: recent 2Q vs prior 2Q</t>
  </si>
  <si>
    <t xml:space="preserve">Reach</t>
  </si>
  <si>
    <t xml:space="preserve">Phase-out</t>
  </si>
  <si>
    <t xml:space="preserve">LIFECYCLE STAGE</t>
  </si>
  <si>
    <t xml:space="preserve">Classification thresholds</t>
  </si>
  <si>
    <t xml:space="preserve">Intro max age (mo)</t>
  </si>
  <si>
    <t xml:space="preserve">Intro min growth</t>
  </si>
  <si>
    <t xml:space="preserve">Growth min growth</t>
  </si>
  <si>
    <t xml:space="preserve">Decline max growth</t>
  </si>
  <si>
    <t xml:space="preserve">Exit max growth</t>
  </si>
  <si>
    <t xml:space="preserve">Exit velocity floor</t>
  </si>
  <si>
    <t xml:space="preserve">POLICY &amp; INVENTORY - SS = z x sigma x sqrt(LT); stage sets the levers</t>
  </si>
  <si>
    <t xml:space="preserve">Stage</t>
  </si>
  <si>
    <t xml:space="preserve">Target SL</t>
  </si>
  <si>
    <t xml:space="preserve">z (=NORMSINV)</t>
  </si>
  <si>
    <t xml:space="preserve">Lead time (days)</t>
  </si>
  <si>
    <t xml:space="preserve">Cycle days</t>
  </si>
  <si>
    <t xml:space="preserve">Reorder days</t>
  </si>
  <si>
    <t xml:space="preserve">Deploy mode</t>
  </si>
  <si>
    <t xml:space="preserve">Baseline (status quo)</t>
  </si>
  <si>
    <t xml:space="preserve">Introduction</t>
  </si>
  <si>
    <t xml:space="preserve">Pull (central)</t>
  </si>
  <si>
    <t xml:space="preserve">One-size FG cover (days)</t>
  </si>
  <si>
    <t xml:space="preserve">Growth</t>
  </si>
  <si>
    <t xml:space="preserve">Push + Pull</t>
  </si>
  <si>
    <t xml:space="preserve">Flat buffer applied to every SKU regardless of stage</t>
  </si>
  <si>
    <t xml:space="preserve">Maturity</t>
  </si>
  <si>
    <t xml:space="preserve">Push</t>
  </si>
  <si>
    <t xml:space="preserve">Decline</t>
  </si>
  <si>
    <t xml:space="preserve">Pull</t>
  </si>
  <si>
    <t xml:space="preserve">Exit</t>
  </si>
  <si>
    <t xml:space="preserve">MTO / central</t>
  </si>
  <si>
    <t xml:space="preserve">Daily dmd (KL)</t>
  </si>
  <si>
    <t xml:space="preserve">Sigma (KL)</t>
  </si>
  <si>
    <t xml:space="preserve">Unit cost</t>
  </si>
  <si>
    <t xml:space="preserve">z</t>
  </si>
  <si>
    <t xml:space="preserve">LT days</t>
  </si>
  <si>
    <t xml:space="preserve">SS (KL)</t>
  </si>
  <si>
    <t xml:space="preserve">SS days</t>
  </si>
  <si>
    <t xml:space="preserve">Planned days cover</t>
  </si>
  <si>
    <t xml:space="preserve">Planned stock (KL)</t>
  </si>
  <si>
    <t xml:space="preserve">Lifecycle inv (Rs L)</t>
  </si>
  <si>
    <t xml:space="preserve">Baseline days</t>
  </si>
  <si>
    <t xml:space="preserve">Baseline inv (Rs L)</t>
  </si>
  <si>
    <t xml:space="preserve">WC released (Rs L)</t>
  </si>
  <si>
    <t xml:space="preserve">TOTAL</t>
  </si>
  <si>
    <t xml:space="preserve">METRICS DASHBOARD - inventory productivity by lifecycle stage</t>
  </si>
  <si>
    <t xml:space="preserve"># SKUs</t>
  </si>
  <si>
    <t xml:space="preserve">Avg CV</t>
  </si>
  <si>
    <t xml:space="preserve">Avg planned days cover</t>
  </si>
  <si>
    <t xml:space="preserve">Baseline days cover</t>
  </si>
  <si>
    <t xml:space="preserve">Primary metric focus</t>
  </si>
  <si>
    <t xml:space="preserve">Launch fill rate; time-to-stable-forecast</t>
  </si>
  <si>
    <t xml:space="preserve">Footprint expansion + service</t>
  </si>
  <si>
    <t xml:space="preserve">Inventory turns / GMROI</t>
  </si>
  <si>
    <t xml:space="preserve">Slow-moving % / weeks of cover</t>
  </si>
  <si>
    <t xml:space="preserve">Write-off value / residual stock</t>
  </si>
  <si>
    <t xml:space="preserve">HEADLINE - illustrative impact</t>
  </si>
  <si>
    <t xml:space="preserve">Blended days of cover - one-size baseline</t>
  </si>
  <si>
    <t xml:space="preserve">Blended days of cover - lifecycle (demand-weighted)</t>
  </si>
  <si>
    <t xml:space="preserve">Total inventory - baseline (Rs L)</t>
  </si>
  <si>
    <t xml:space="preserve">Total inventory - lifecycle (Rs L)</t>
  </si>
  <si>
    <t xml:space="preserve">Working capital released (Rs L)</t>
  </si>
  <si>
    <t xml:space="preserve">Working capital released (% of baseline)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</si>
</sst>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"/>
    <numFmt numFmtId="167" formatCode="0.00"/>
    <numFmt numFmtId="168" formatCode="0.0%"/>
    <numFmt numFmtId="169" formatCode="0%"/>
    <numFmt numFmtId="170" formatCode="#,##0.0"/>
    <numFmt numFmtId="171" formatCode="#,##0;\(#,##0\)"/>
    <numFmt numFmtId="172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6DCE5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Days of cover by lifecycle stage (vs one-size)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'Metrics Dashboard'!E2</c:f>
              <c:strCache>
                <c:ptCount val="1"/>
                <c:pt idx="0">
                  <c:v>Avg planned days cover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'Metrics Dashboard'!$A$3:$A$7</c:f>
              <c:strCache>
                <c:ptCount val="5"/>
                <c:pt idx="0">
                  <c:v>Introduction</c:v>
                </c:pt>
                <c:pt idx="1">
                  <c:v>Growth</c:v>
                </c:pt>
                <c:pt idx="2">
                  <c:v>Maturity</c:v>
                </c:pt>
                <c:pt idx="3">
                  <c:v>Decline</c:v>
                </c:pt>
                <c:pt idx="4">
                  <c:v>Exit</c:v>
                </c:pt>
              </c:strCache>
            </c:strRef>
          </c:cat>
          <c:val>
            <c:numRef>
              <c:f>'Metrics Dashboard'!$E$3:$E$7</c:f>
              <c:numCache>
                <c:formatCode>#,##0</c:formatCode>
                <c:ptCount val="5"/>
                <c:pt idx="0">
                  <c:v>41.597648182583</c:v>
                </c:pt>
                <c:pt idx="1">
                  <c:v>38.2013936928579</c:v>
                </c:pt>
                <c:pt idx="2">
                  <c:v>24.4476275652953</c:v>
                </c:pt>
                <c:pt idx="3">
                  <c:v>16.5282678810458</c:v>
                </c:pt>
                <c:pt idx="4">
                  <c:v>10.7716438234975</c:v>
                </c:pt>
              </c:numCache>
            </c:numRef>
          </c:val>
        </c:ser>
        <c:gapWidth val="150"/>
        <c:overlap val="0"/>
        <c:axId val="64079235"/>
        <c:axId val="20293587"/>
      </c:barChart>
      <c:catAx>
        <c:axId val="640792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93587"/>
        <c:crosses val="autoZero"/>
        <c:auto val="1"/>
        <c:lblAlgn val="ctr"/>
        <c:lblOffset val="100"/>
        <c:noMultiLvlLbl val="0"/>
      </c:catAx>
      <c:valAx>
        <c:axId val="202935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792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Working capital released by stage (Rs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'Metrics Dashboard'!I2</c:f>
              <c:strCache>
                <c:ptCount val="1"/>
                <c:pt idx="0">
                  <c:v>WC released (Rs L)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'Metrics Dashboard'!$A$3:$A$7</c:f>
              <c:strCache>
                <c:ptCount val="5"/>
                <c:pt idx="0">
                  <c:v>Introduction</c:v>
                </c:pt>
                <c:pt idx="1">
                  <c:v>Growth</c:v>
                </c:pt>
                <c:pt idx="2">
                  <c:v>Maturity</c:v>
                </c:pt>
                <c:pt idx="3">
                  <c:v>Decline</c:v>
                </c:pt>
                <c:pt idx="4">
                  <c:v>Exit</c:v>
                </c:pt>
              </c:strCache>
            </c:strRef>
          </c:cat>
          <c:val>
            <c:numRef>
              <c:f>'Metrics Dashboard'!$I$3:$I$7</c:f>
              <c:numCache>
                <c:formatCode>#,##0;\(#,##0\)</c:formatCode>
                <c:ptCount val="5"/>
                <c:pt idx="0">
                  <c:v>-232.932083180098</c:v>
                </c:pt>
                <c:pt idx="1">
                  <c:v>-88.4319282879684</c:v>
                </c:pt>
                <c:pt idx="2">
                  <c:v>3034.47409690302</c:v>
                </c:pt>
                <c:pt idx="3">
                  <c:v>808.290379291906</c:v>
                </c:pt>
                <c:pt idx="4">
                  <c:v>134.113999422067</c:v>
                </c:pt>
              </c:numCache>
            </c:numRef>
          </c:val>
        </c:ser>
        <c:gapWidth val="150"/>
        <c:overlap val="0"/>
        <c:axId val="34221889"/>
        <c:axId val="43779176"/>
      </c:barChart>
      <c:catAx>
        <c:axId val="342218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779176"/>
        <c:crosses val="autoZero"/>
        <c:auto val="1"/>
        <c:lblAlgn val="ctr"/>
        <c:lblOffset val="100"/>
        <c:noMultiLvlLbl val="0"/>
      </c:catAx>
      <c:valAx>
        <c:axId val="437791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218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0</xdr:row>
      <xdr:rowOff>190440</xdr:rowOff>
    </xdr:from>
    <xdr:to>
      <xdr:col>18</xdr:col>
      <xdr:colOff>399240</xdr:colOff>
      <xdr:row>14</xdr:row>
      <xdr:rowOff>81000</xdr:rowOff>
    </xdr:to>
    <xdr:graphicFrame>
      <xdr:nvGraphicFramePr>
        <xdr:cNvPr id="0" name="Chart 1"/>
        <xdr:cNvGraphicFramePr/>
      </xdr:nvGraphicFramePr>
      <xdr:xfrm>
        <a:off x="11818800" y="1904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16</xdr:row>
      <xdr:rowOff>48240</xdr:rowOff>
    </xdr:from>
    <xdr:to>
      <xdr:col>18</xdr:col>
      <xdr:colOff>399240</xdr:colOff>
      <xdr:row>30</xdr:row>
      <xdr:rowOff>81000</xdr:rowOff>
    </xdr:to>
    <xdr:graphicFrame>
      <xdr:nvGraphicFramePr>
        <xdr:cNvPr id="1" name="Chart 2"/>
        <xdr:cNvGraphicFramePr/>
      </xdr:nvGraphicFramePr>
      <xdr:xfrm>
        <a:off x="11818800" y="323856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2"/>
    <col collapsed="false" customWidth="true" hidden="false" outlineLevel="0" max="4" min="4" style="0" width="9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D6" s="4" t="s">
        <v>4</v>
      </c>
    </row>
    <row r="7" customFormat="false" ht="15" hidden="false" customHeight="false" outlineLevel="0" collapsed="false">
      <c r="D7" s="4" t="s">
        <v>5</v>
      </c>
    </row>
    <row r="8" customFormat="false" ht="15" hidden="false" customHeight="false" outlineLevel="0" collapsed="false">
      <c r="B8" s="3" t="s">
        <v>6</v>
      </c>
      <c r="D8" s="4" t="s">
        <v>7</v>
      </c>
    </row>
    <row r="9" customFormat="false" ht="15" hidden="false" customHeight="false" outlineLevel="0" collapsed="false">
      <c r="D9" s="4" t="s">
        <v>8</v>
      </c>
    </row>
    <row r="10" customFormat="false" ht="15" hidden="false" customHeight="false" outlineLevel="0" collapsed="false">
      <c r="D10" s="4" t="s">
        <v>9</v>
      </c>
    </row>
    <row r="11" customFormat="false" ht="15" hidden="false" customHeight="false" outlineLevel="0" collapsed="false">
      <c r="B11" s="3" t="s">
        <v>10</v>
      </c>
      <c r="D11" s="4" t="s">
        <v>11</v>
      </c>
    </row>
    <row r="12" customFormat="false" ht="15" hidden="false" customHeight="false" outlineLevel="0" collapsed="false">
      <c r="D12" s="4" t="s">
        <v>12</v>
      </c>
    </row>
    <row r="13" customFormat="false" ht="15" hidden="false" customHeight="false" outlineLevel="0" collapsed="false">
      <c r="D13" s="4" t="s">
        <v>13</v>
      </c>
    </row>
    <row r="14" customFormat="false" ht="15" hidden="false" customHeight="false" outlineLevel="0" collapsed="false">
      <c r="D14" s="4" t="s">
        <v>14</v>
      </c>
    </row>
    <row r="15" customFormat="false" ht="15" hidden="false" customHeight="false" outlineLevel="0" collapsed="false">
      <c r="B15" s="3" t="s">
        <v>15</v>
      </c>
      <c r="D15" s="4" t="s">
        <v>16</v>
      </c>
    </row>
    <row r="16" customFormat="false" ht="15" hidden="false" customHeight="false" outlineLevel="0" collapsed="false">
      <c r="D16" s="4" t="s">
        <v>17</v>
      </c>
    </row>
    <row r="17" customFormat="false" ht="15" hidden="false" customHeight="false" outlineLevel="0" collapsed="false">
      <c r="B17" s="3" t="s">
        <v>18</v>
      </c>
      <c r="D17" s="4" t="s">
        <v>19</v>
      </c>
    </row>
    <row r="18" customFormat="false" ht="15" hidden="false" customHeight="false" outlineLevel="0" collapsed="false">
      <c r="D18" s="4" t="s">
        <v>20</v>
      </c>
    </row>
    <row r="19" customFormat="false" ht="15" hidden="false" customHeight="false" outlineLevel="0" collapsed="false">
      <c r="B19" s="3" t="s">
        <v>21</v>
      </c>
      <c r="D19" s="4" t="s">
        <v>22</v>
      </c>
    </row>
    <row r="20" customFormat="false" ht="15" hidden="false" customHeight="false" outlineLevel="0" collapsed="false">
      <c r="B20" s="3" t="s">
        <v>23</v>
      </c>
      <c r="D20" s="4" t="s">
        <v>24</v>
      </c>
    </row>
    <row r="21" customFormat="false" ht="15" hidden="false" customHeight="false" outlineLevel="0" collapsed="false">
      <c r="D21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2" topLeftCell="K3" activePane="bottomRight" state="frozen"/>
      <selection pane="topLeft" activeCell="A1" activeCellId="0" sqref="A1"/>
      <selection pane="topRight" activeCell="K1" activeCellId="0" sqref="K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5" min="4" style="0" width="9"/>
    <col collapsed="false" customWidth="true" hidden="false" outlineLevel="0" max="7" min="6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34" min="11" style="0" width="5"/>
  </cols>
  <sheetData>
    <row r="1" customFormat="false" ht="17.35" hidden="false" customHeight="false" outlineLevel="0" collapsed="false">
      <c r="A1" s="1" t="s">
        <v>26</v>
      </c>
      <c r="K1" s="5" t="s">
        <v>27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customFormat="false" ht="23.85" hidden="false" customHeight="false" outlineLevel="0" collapsed="false">
      <c r="A2" s="6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6" t="s">
        <v>37</v>
      </c>
      <c r="K2" s="6" t="n">
        <v>1</v>
      </c>
      <c r="L2" s="6" t="n">
        <v>2</v>
      </c>
      <c r="M2" s="6" t="n">
        <v>3</v>
      </c>
      <c r="N2" s="6" t="n">
        <v>4</v>
      </c>
      <c r="O2" s="6" t="n">
        <v>5</v>
      </c>
      <c r="P2" s="6" t="n">
        <v>6</v>
      </c>
      <c r="Q2" s="6" t="n">
        <v>7</v>
      </c>
      <c r="R2" s="6" t="n">
        <v>8</v>
      </c>
      <c r="S2" s="6" t="n">
        <v>9</v>
      </c>
      <c r="T2" s="6" t="n">
        <v>10</v>
      </c>
      <c r="U2" s="6" t="n">
        <v>11</v>
      </c>
      <c r="V2" s="6" t="n">
        <v>12</v>
      </c>
      <c r="W2" s="6" t="n">
        <v>13</v>
      </c>
      <c r="X2" s="6" t="n">
        <v>14</v>
      </c>
      <c r="Y2" s="6" t="n">
        <v>15</v>
      </c>
      <c r="Z2" s="6" t="n">
        <v>16</v>
      </c>
      <c r="AA2" s="6" t="n">
        <v>17</v>
      </c>
      <c r="AB2" s="6" t="n">
        <v>18</v>
      </c>
      <c r="AC2" s="6" t="n">
        <v>19</v>
      </c>
      <c r="AD2" s="6" t="n">
        <v>20</v>
      </c>
      <c r="AE2" s="6" t="n">
        <v>21</v>
      </c>
      <c r="AF2" s="6" t="n">
        <v>22</v>
      </c>
      <c r="AG2" s="6" t="n">
        <v>23</v>
      </c>
      <c r="AH2" s="6" t="n">
        <v>24</v>
      </c>
    </row>
    <row r="3" customFormat="false" ht="15" hidden="false" customHeight="false" outlineLevel="0" collapsed="false">
      <c r="A3" s="7" t="s">
        <v>38</v>
      </c>
      <c r="B3" s="8" t="s">
        <v>39</v>
      </c>
      <c r="C3" s="8" t="s">
        <v>40</v>
      </c>
      <c r="D3" s="9" t="n">
        <v>2025</v>
      </c>
      <c r="E3" s="10" t="n">
        <v>8</v>
      </c>
      <c r="F3" s="10" t="n">
        <v>24</v>
      </c>
      <c r="G3" s="11" t="n">
        <v>90</v>
      </c>
      <c r="H3" s="10" t="s">
        <v>41</v>
      </c>
      <c r="I3" s="10" t="n">
        <v>35</v>
      </c>
      <c r="J3" s="10" t="s">
        <v>42</v>
      </c>
      <c r="K3" s="10" t="n">
        <v>62</v>
      </c>
      <c r="L3" s="10" t="n">
        <v>21</v>
      </c>
      <c r="M3" s="10" t="n">
        <v>39</v>
      </c>
      <c r="N3" s="10" t="n">
        <v>54</v>
      </c>
      <c r="O3" s="10" t="n">
        <v>34</v>
      </c>
      <c r="P3" s="10" t="n">
        <v>58</v>
      </c>
      <c r="Q3" s="10" t="n">
        <v>64</v>
      </c>
      <c r="R3" s="10" t="n">
        <v>32</v>
      </c>
      <c r="S3" s="10" t="n">
        <v>100</v>
      </c>
      <c r="T3" s="10" t="n">
        <v>97</v>
      </c>
      <c r="U3" s="10" t="n">
        <v>76</v>
      </c>
      <c r="V3" s="10" t="n">
        <v>93</v>
      </c>
      <c r="W3" s="10" t="n">
        <v>114</v>
      </c>
      <c r="X3" s="10" t="n">
        <v>104</v>
      </c>
      <c r="Y3" s="10" t="n">
        <v>111</v>
      </c>
      <c r="Z3" s="10" t="n">
        <v>91</v>
      </c>
      <c r="AA3" s="10" t="n">
        <v>142</v>
      </c>
      <c r="AB3" s="10" t="n">
        <v>139</v>
      </c>
      <c r="AC3" s="10" t="n">
        <v>148</v>
      </c>
      <c r="AD3" s="10" t="n">
        <v>115</v>
      </c>
      <c r="AE3" s="10" t="n">
        <v>192</v>
      </c>
      <c r="AF3" s="10" t="n">
        <v>165</v>
      </c>
      <c r="AG3" s="10" t="n">
        <v>160</v>
      </c>
      <c r="AH3" s="10" t="n">
        <v>220</v>
      </c>
    </row>
    <row r="4" customFormat="false" ht="15" hidden="false" customHeight="false" outlineLevel="0" collapsed="false">
      <c r="A4" s="7" t="s">
        <v>43</v>
      </c>
      <c r="B4" s="8" t="s">
        <v>44</v>
      </c>
      <c r="C4" s="8" t="s">
        <v>45</v>
      </c>
      <c r="D4" s="9" t="n">
        <v>2025</v>
      </c>
      <c r="E4" s="10" t="n">
        <v>7</v>
      </c>
      <c r="F4" s="10" t="n">
        <v>18</v>
      </c>
      <c r="G4" s="11" t="n">
        <v>320</v>
      </c>
      <c r="H4" s="10" t="s">
        <v>46</v>
      </c>
      <c r="I4" s="10" t="n">
        <v>40</v>
      </c>
      <c r="J4" s="10" t="s">
        <v>42</v>
      </c>
      <c r="K4" s="10" t="n">
        <v>24</v>
      </c>
      <c r="L4" s="10" t="n">
        <v>8</v>
      </c>
      <c r="M4" s="10" t="n">
        <v>29</v>
      </c>
      <c r="N4" s="10" t="n">
        <v>8</v>
      </c>
      <c r="O4" s="10" t="n">
        <v>74</v>
      </c>
      <c r="P4" s="10" t="n">
        <v>48</v>
      </c>
      <c r="Q4" s="10" t="n">
        <v>48</v>
      </c>
      <c r="R4" s="10" t="n">
        <v>94</v>
      </c>
      <c r="S4" s="10" t="n">
        <v>41</v>
      </c>
      <c r="T4" s="10" t="n">
        <v>95</v>
      </c>
      <c r="U4" s="10" t="n">
        <v>45</v>
      </c>
      <c r="V4" s="10" t="n">
        <v>82</v>
      </c>
      <c r="W4" s="10" t="n">
        <v>77</v>
      </c>
      <c r="X4" s="10" t="n">
        <v>142</v>
      </c>
      <c r="Y4" s="10" t="n">
        <v>155</v>
      </c>
      <c r="Z4" s="10" t="n">
        <v>116</v>
      </c>
      <c r="AA4" s="10" t="n">
        <v>148</v>
      </c>
      <c r="AB4" s="10" t="n">
        <v>132</v>
      </c>
      <c r="AC4" s="10" t="n">
        <v>155</v>
      </c>
      <c r="AD4" s="10" t="n">
        <v>132</v>
      </c>
      <c r="AE4" s="10" t="n">
        <v>118</v>
      </c>
      <c r="AF4" s="10" t="n">
        <v>122</v>
      </c>
      <c r="AG4" s="10" t="n">
        <v>177</v>
      </c>
      <c r="AH4" s="10" t="n">
        <v>224</v>
      </c>
    </row>
    <row r="5" customFormat="false" ht="15" hidden="false" customHeight="false" outlineLevel="0" collapsed="false">
      <c r="A5" s="7" t="s">
        <v>47</v>
      </c>
      <c r="B5" s="8" t="s">
        <v>48</v>
      </c>
      <c r="C5" s="8" t="s">
        <v>49</v>
      </c>
      <c r="D5" s="9" t="n">
        <v>2025</v>
      </c>
      <c r="E5" s="10" t="n">
        <v>9</v>
      </c>
      <c r="F5" s="10" t="n">
        <v>12</v>
      </c>
      <c r="G5" s="11" t="n">
        <v>210</v>
      </c>
      <c r="H5" s="10" t="s">
        <v>41</v>
      </c>
      <c r="I5" s="10" t="n">
        <v>28</v>
      </c>
      <c r="J5" s="10" t="s">
        <v>42</v>
      </c>
      <c r="K5" s="10" t="n">
        <v>31</v>
      </c>
      <c r="L5" s="10" t="n">
        <v>20</v>
      </c>
      <c r="M5" s="10" t="n">
        <v>80</v>
      </c>
      <c r="N5" s="10" t="n">
        <v>50</v>
      </c>
      <c r="O5" s="10" t="n">
        <v>53</v>
      </c>
      <c r="P5" s="10" t="n">
        <v>63</v>
      </c>
      <c r="Q5" s="10" t="n">
        <v>61</v>
      </c>
      <c r="R5" s="10" t="n">
        <v>64</v>
      </c>
      <c r="S5" s="10" t="n">
        <v>46</v>
      </c>
      <c r="T5" s="10" t="n">
        <v>95</v>
      </c>
      <c r="U5" s="10" t="n">
        <v>88</v>
      </c>
      <c r="V5" s="10" t="n">
        <v>123</v>
      </c>
      <c r="W5" s="10" t="n">
        <v>95</v>
      </c>
      <c r="X5" s="10" t="n">
        <v>68</v>
      </c>
      <c r="Y5" s="10" t="n">
        <v>114</v>
      </c>
      <c r="Z5" s="10" t="n">
        <v>160</v>
      </c>
      <c r="AA5" s="10" t="n">
        <v>121</v>
      </c>
      <c r="AB5" s="10" t="n">
        <v>116</v>
      </c>
      <c r="AC5" s="10" t="n">
        <v>116</v>
      </c>
      <c r="AD5" s="10" t="n">
        <v>126</v>
      </c>
      <c r="AE5" s="10" t="n">
        <v>149</v>
      </c>
      <c r="AF5" s="10" t="n">
        <v>136</v>
      </c>
      <c r="AG5" s="10" t="n">
        <v>201</v>
      </c>
      <c r="AH5" s="10" t="n">
        <v>169</v>
      </c>
    </row>
    <row r="6" customFormat="false" ht="15" hidden="false" customHeight="false" outlineLevel="0" collapsed="false">
      <c r="A6" s="7" t="s">
        <v>50</v>
      </c>
      <c r="B6" s="8" t="s">
        <v>51</v>
      </c>
      <c r="C6" s="8" t="s">
        <v>52</v>
      </c>
      <c r="D6" s="9" t="n">
        <v>2026</v>
      </c>
      <c r="E6" s="10" t="n">
        <v>6</v>
      </c>
      <c r="F6" s="10" t="n">
        <v>12</v>
      </c>
      <c r="G6" s="11" t="n">
        <v>400</v>
      </c>
      <c r="H6" s="10" t="s">
        <v>53</v>
      </c>
      <c r="I6" s="10" t="n">
        <v>22</v>
      </c>
      <c r="J6" s="10" t="s">
        <v>42</v>
      </c>
      <c r="K6" s="10" t="n">
        <v>27</v>
      </c>
      <c r="L6" s="10" t="n">
        <v>63</v>
      </c>
      <c r="M6" s="10" t="n">
        <v>71</v>
      </c>
      <c r="N6" s="10" t="n">
        <v>40</v>
      </c>
      <c r="O6" s="10" t="n">
        <v>58</v>
      </c>
      <c r="P6" s="10" t="n">
        <v>74</v>
      </c>
      <c r="Q6" s="10" t="n">
        <v>60</v>
      </c>
      <c r="R6" s="10" t="n">
        <v>32</v>
      </c>
      <c r="S6" s="10" t="n">
        <v>92</v>
      </c>
      <c r="T6" s="10" t="n">
        <v>103</v>
      </c>
      <c r="U6" s="10" t="n">
        <v>99</v>
      </c>
      <c r="V6" s="10" t="n">
        <v>76</v>
      </c>
      <c r="W6" s="10" t="n">
        <v>99</v>
      </c>
      <c r="X6" s="10" t="n">
        <v>97</v>
      </c>
      <c r="Y6" s="10" t="n">
        <v>110</v>
      </c>
      <c r="Z6" s="10" t="n">
        <v>151</v>
      </c>
      <c r="AA6" s="10" t="n">
        <v>163</v>
      </c>
      <c r="AB6" s="10" t="n">
        <v>151</v>
      </c>
      <c r="AC6" s="10" t="n">
        <v>154</v>
      </c>
      <c r="AD6" s="10" t="n">
        <v>164</v>
      </c>
      <c r="AE6" s="10" t="n">
        <v>155</v>
      </c>
      <c r="AF6" s="10" t="n">
        <v>160</v>
      </c>
      <c r="AG6" s="10" t="n">
        <v>154</v>
      </c>
      <c r="AH6" s="10" t="n">
        <v>174</v>
      </c>
    </row>
    <row r="7" customFormat="false" ht="15" hidden="false" customHeight="false" outlineLevel="0" collapsed="false">
      <c r="A7" s="7" t="s">
        <v>54</v>
      </c>
      <c r="B7" s="8" t="s">
        <v>55</v>
      </c>
      <c r="C7" s="8" t="s">
        <v>49</v>
      </c>
      <c r="D7" s="9" t="n">
        <v>2024</v>
      </c>
      <c r="E7" s="10" t="n">
        <v>24</v>
      </c>
      <c r="F7" s="10" t="n">
        <v>12</v>
      </c>
      <c r="G7" s="11" t="n">
        <v>180</v>
      </c>
      <c r="H7" s="10" t="s">
        <v>46</v>
      </c>
      <c r="I7" s="10" t="n">
        <v>95</v>
      </c>
      <c r="J7" s="10" t="s">
        <v>42</v>
      </c>
      <c r="K7" s="10" t="n">
        <v>173</v>
      </c>
      <c r="L7" s="10" t="n">
        <v>142</v>
      </c>
      <c r="M7" s="10" t="n">
        <v>115</v>
      </c>
      <c r="N7" s="10" t="n">
        <v>118</v>
      </c>
      <c r="O7" s="10" t="n">
        <v>114</v>
      </c>
      <c r="P7" s="10" t="n">
        <v>156</v>
      </c>
      <c r="Q7" s="10" t="n">
        <v>164</v>
      </c>
      <c r="R7" s="10" t="n">
        <v>120</v>
      </c>
      <c r="S7" s="10" t="n">
        <v>181</v>
      </c>
      <c r="T7" s="10" t="n">
        <v>159</v>
      </c>
      <c r="U7" s="10" t="n">
        <v>222</v>
      </c>
      <c r="V7" s="10" t="n">
        <v>193</v>
      </c>
      <c r="W7" s="10" t="n">
        <v>244</v>
      </c>
      <c r="X7" s="10" t="n">
        <v>190</v>
      </c>
      <c r="Y7" s="10" t="n">
        <v>202</v>
      </c>
      <c r="Z7" s="10" t="n">
        <v>226</v>
      </c>
      <c r="AA7" s="10" t="n">
        <v>254</v>
      </c>
      <c r="AB7" s="10" t="n">
        <v>248</v>
      </c>
      <c r="AC7" s="10" t="n">
        <v>205</v>
      </c>
      <c r="AD7" s="10" t="n">
        <v>251</v>
      </c>
      <c r="AE7" s="10" t="n">
        <v>254</v>
      </c>
      <c r="AF7" s="10" t="n">
        <v>249</v>
      </c>
      <c r="AG7" s="10" t="n">
        <v>250</v>
      </c>
      <c r="AH7" s="10" t="n">
        <v>324</v>
      </c>
    </row>
    <row r="8" customFormat="false" ht="15" hidden="false" customHeight="false" outlineLevel="0" collapsed="false">
      <c r="A8" s="7" t="s">
        <v>56</v>
      </c>
      <c r="B8" s="8" t="s">
        <v>57</v>
      </c>
      <c r="C8" s="8" t="s">
        <v>58</v>
      </c>
      <c r="D8" s="9" t="n">
        <v>2024</v>
      </c>
      <c r="E8" s="10" t="n">
        <v>22</v>
      </c>
      <c r="F8" s="10" t="n">
        <v>24</v>
      </c>
      <c r="G8" s="11" t="n">
        <v>240</v>
      </c>
      <c r="H8" s="10" t="s">
        <v>41</v>
      </c>
      <c r="I8" s="10" t="n">
        <v>80</v>
      </c>
      <c r="J8" s="10" t="s">
        <v>42</v>
      </c>
      <c r="K8" s="10" t="n">
        <v>99</v>
      </c>
      <c r="L8" s="10" t="n">
        <v>93</v>
      </c>
      <c r="M8" s="10" t="n">
        <v>142</v>
      </c>
      <c r="N8" s="10" t="n">
        <v>135</v>
      </c>
      <c r="O8" s="10" t="n">
        <v>137</v>
      </c>
      <c r="P8" s="10" t="n">
        <v>168</v>
      </c>
      <c r="Q8" s="10" t="n">
        <v>167</v>
      </c>
      <c r="R8" s="10" t="n">
        <v>170</v>
      </c>
      <c r="S8" s="10" t="n">
        <v>194</v>
      </c>
      <c r="T8" s="10" t="n">
        <v>183</v>
      </c>
      <c r="U8" s="10" t="n">
        <v>164</v>
      </c>
      <c r="V8" s="10" t="n">
        <v>179</v>
      </c>
      <c r="W8" s="10" t="n">
        <v>181</v>
      </c>
      <c r="X8" s="10" t="n">
        <v>209</v>
      </c>
      <c r="Y8" s="10" t="n">
        <v>180</v>
      </c>
      <c r="Z8" s="10" t="n">
        <v>166</v>
      </c>
      <c r="AA8" s="10" t="n">
        <v>227</v>
      </c>
      <c r="AB8" s="10" t="n">
        <v>195</v>
      </c>
      <c r="AC8" s="10" t="n">
        <v>184</v>
      </c>
      <c r="AD8" s="10" t="n">
        <v>257</v>
      </c>
      <c r="AE8" s="10" t="n">
        <v>234</v>
      </c>
      <c r="AF8" s="10" t="n">
        <v>275</v>
      </c>
      <c r="AG8" s="10" t="n">
        <v>253</v>
      </c>
      <c r="AH8" s="10" t="n">
        <v>244</v>
      </c>
    </row>
    <row r="9" customFormat="false" ht="15" hidden="false" customHeight="false" outlineLevel="0" collapsed="false">
      <c r="A9" s="7" t="s">
        <v>59</v>
      </c>
      <c r="B9" s="8" t="s">
        <v>60</v>
      </c>
      <c r="C9" s="8" t="s">
        <v>61</v>
      </c>
      <c r="D9" s="9" t="n">
        <v>2024</v>
      </c>
      <c r="E9" s="10" t="n">
        <v>28</v>
      </c>
      <c r="F9" s="10" t="n">
        <v>12</v>
      </c>
      <c r="G9" s="11" t="n">
        <v>40</v>
      </c>
      <c r="H9" s="10" t="s">
        <v>41</v>
      </c>
      <c r="I9" s="10" t="n">
        <v>110</v>
      </c>
      <c r="J9" s="10" t="s">
        <v>42</v>
      </c>
      <c r="K9" s="10" t="n">
        <v>75</v>
      </c>
      <c r="L9" s="10" t="n">
        <v>103</v>
      </c>
      <c r="M9" s="10" t="n">
        <v>117</v>
      </c>
      <c r="N9" s="10" t="n">
        <v>108</v>
      </c>
      <c r="O9" s="10" t="n">
        <v>131</v>
      </c>
      <c r="P9" s="10" t="n">
        <v>103</v>
      </c>
      <c r="Q9" s="10" t="n">
        <v>153</v>
      </c>
      <c r="R9" s="10" t="n">
        <v>110</v>
      </c>
      <c r="S9" s="10" t="n">
        <v>162</v>
      </c>
      <c r="T9" s="10" t="n">
        <v>194</v>
      </c>
      <c r="U9" s="10" t="n">
        <v>212</v>
      </c>
      <c r="V9" s="10" t="n">
        <v>237</v>
      </c>
      <c r="W9" s="10" t="n">
        <v>153</v>
      </c>
      <c r="X9" s="10" t="n">
        <v>225</v>
      </c>
      <c r="Y9" s="10" t="n">
        <v>244</v>
      </c>
      <c r="Z9" s="10" t="n">
        <v>245</v>
      </c>
      <c r="AA9" s="10" t="n">
        <v>199</v>
      </c>
      <c r="AB9" s="10" t="n">
        <v>243</v>
      </c>
      <c r="AC9" s="10" t="n">
        <v>291</v>
      </c>
      <c r="AD9" s="10" t="n">
        <v>204</v>
      </c>
      <c r="AE9" s="10" t="n">
        <v>267</v>
      </c>
      <c r="AF9" s="10" t="n">
        <v>292</v>
      </c>
      <c r="AG9" s="10" t="n">
        <v>248</v>
      </c>
      <c r="AH9" s="10" t="n">
        <v>291</v>
      </c>
    </row>
    <row r="10" customFormat="false" ht="15" hidden="false" customHeight="false" outlineLevel="0" collapsed="false">
      <c r="A10" s="7" t="s">
        <v>62</v>
      </c>
      <c r="B10" s="8" t="s">
        <v>63</v>
      </c>
      <c r="C10" s="8" t="s">
        <v>45</v>
      </c>
      <c r="D10" s="9" t="n">
        <v>2024</v>
      </c>
      <c r="E10" s="10" t="n">
        <v>26</v>
      </c>
      <c r="F10" s="10" t="n">
        <v>24</v>
      </c>
      <c r="G10" s="11" t="n">
        <v>300</v>
      </c>
      <c r="H10" s="10" t="s">
        <v>46</v>
      </c>
      <c r="I10" s="10" t="n">
        <v>90</v>
      </c>
      <c r="J10" s="10" t="s">
        <v>42</v>
      </c>
      <c r="K10" s="10" t="n">
        <v>80</v>
      </c>
      <c r="L10" s="10" t="n">
        <v>94</v>
      </c>
      <c r="M10" s="10" t="n">
        <v>101</v>
      </c>
      <c r="N10" s="10" t="n">
        <v>137</v>
      </c>
      <c r="O10" s="10" t="n">
        <v>136</v>
      </c>
      <c r="P10" s="10" t="n">
        <v>173</v>
      </c>
      <c r="Q10" s="10" t="n">
        <v>127</v>
      </c>
      <c r="R10" s="10" t="n">
        <v>157</v>
      </c>
      <c r="S10" s="10" t="n">
        <v>194</v>
      </c>
      <c r="T10" s="10" t="n">
        <v>190</v>
      </c>
      <c r="U10" s="10" t="n">
        <v>145</v>
      </c>
      <c r="V10" s="10" t="n">
        <v>208</v>
      </c>
      <c r="W10" s="10" t="n">
        <v>183</v>
      </c>
      <c r="X10" s="10" t="n">
        <v>214</v>
      </c>
      <c r="Y10" s="10" t="n">
        <v>219</v>
      </c>
      <c r="Z10" s="10" t="n">
        <v>252</v>
      </c>
      <c r="AA10" s="10" t="n">
        <v>228</v>
      </c>
      <c r="AB10" s="10" t="n">
        <v>180</v>
      </c>
      <c r="AC10" s="10" t="n">
        <v>201</v>
      </c>
      <c r="AD10" s="10" t="n">
        <v>267</v>
      </c>
      <c r="AE10" s="10" t="n">
        <v>246</v>
      </c>
      <c r="AF10" s="10" t="n">
        <v>293</v>
      </c>
      <c r="AG10" s="10" t="n">
        <v>275</v>
      </c>
      <c r="AH10" s="10" t="n">
        <v>254</v>
      </c>
    </row>
    <row r="11" customFormat="false" ht="15" hidden="false" customHeight="false" outlineLevel="0" collapsed="false">
      <c r="A11" s="7" t="s">
        <v>64</v>
      </c>
      <c r="B11" s="8" t="s">
        <v>65</v>
      </c>
      <c r="C11" s="8" t="s">
        <v>66</v>
      </c>
      <c r="D11" s="9" t="n">
        <v>2016</v>
      </c>
      <c r="E11" s="10" t="n">
        <v>120</v>
      </c>
      <c r="F11" s="10" t="n">
        <v>24</v>
      </c>
      <c r="G11" s="11" t="n">
        <v>200</v>
      </c>
      <c r="H11" s="10" t="s">
        <v>46</v>
      </c>
      <c r="I11" s="10" t="n">
        <v>158</v>
      </c>
      <c r="J11" s="10" t="s">
        <v>42</v>
      </c>
      <c r="K11" s="10" t="n">
        <v>572</v>
      </c>
      <c r="L11" s="10" t="n">
        <v>618</v>
      </c>
      <c r="M11" s="10" t="n">
        <v>596</v>
      </c>
      <c r="N11" s="10" t="n">
        <v>561</v>
      </c>
      <c r="O11" s="10" t="n">
        <v>568</v>
      </c>
      <c r="P11" s="10" t="n">
        <v>543</v>
      </c>
      <c r="Q11" s="10" t="n">
        <v>560</v>
      </c>
      <c r="R11" s="10" t="n">
        <v>564</v>
      </c>
      <c r="S11" s="10" t="n">
        <v>580</v>
      </c>
      <c r="T11" s="10" t="n">
        <v>620</v>
      </c>
      <c r="U11" s="10" t="n">
        <v>575</v>
      </c>
      <c r="V11" s="10" t="n">
        <v>598</v>
      </c>
      <c r="W11" s="10" t="n">
        <v>543</v>
      </c>
      <c r="X11" s="10" t="n">
        <v>616</v>
      </c>
      <c r="Y11" s="10" t="n">
        <v>599</v>
      </c>
      <c r="Z11" s="10" t="n">
        <v>559</v>
      </c>
      <c r="AA11" s="10" t="n">
        <v>595</v>
      </c>
      <c r="AB11" s="10" t="n">
        <v>560</v>
      </c>
      <c r="AC11" s="10" t="n">
        <v>525</v>
      </c>
      <c r="AD11" s="10" t="n">
        <v>611</v>
      </c>
      <c r="AE11" s="10" t="n">
        <v>570</v>
      </c>
      <c r="AF11" s="10" t="n">
        <v>587</v>
      </c>
      <c r="AG11" s="10" t="n">
        <v>557</v>
      </c>
      <c r="AH11" s="10" t="n">
        <v>546</v>
      </c>
    </row>
    <row r="12" customFormat="false" ht="15" hidden="false" customHeight="false" outlineLevel="0" collapsed="false">
      <c r="A12" s="7" t="s">
        <v>67</v>
      </c>
      <c r="B12" s="8" t="s">
        <v>68</v>
      </c>
      <c r="C12" s="8" t="s">
        <v>69</v>
      </c>
      <c r="D12" s="9" t="n">
        <v>2014</v>
      </c>
      <c r="E12" s="10" t="n">
        <v>140</v>
      </c>
      <c r="F12" s="10" t="n">
        <v>24</v>
      </c>
      <c r="G12" s="11" t="n">
        <v>110</v>
      </c>
      <c r="H12" s="10" t="s">
        <v>46</v>
      </c>
      <c r="I12" s="10" t="n">
        <v>160</v>
      </c>
      <c r="J12" s="10" t="s">
        <v>42</v>
      </c>
      <c r="K12" s="10" t="n">
        <v>858</v>
      </c>
      <c r="L12" s="10" t="n">
        <v>806</v>
      </c>
      <c r="M12" s="10" t="n">
        <v>806</v>
      </c>
      <c r="N12" s="10" t="n">
        <v>838</v>
      </c>
      <c r="O12" s="10" t="n">
        <v>827</v>
      </c>
      <c r="P12" s="10" t="n">
        <v>867</v>
      </c>
      <c r="Q12" s="10" t="n">
        <v>847</v>
      </c>
      <c r="R12" s="10" t="n">
        <v>926</v>
      </c>
      <c r="S12" s="10" t="n">
        <v>829</v>
      </c>
      <c r="T12" s="10" t="n">
        <v>829</v>
      </c>
      <c r="U12" s="10" t="n">
        <v>789</v>
      </c>
      <c r="V12" s="10" t="n">
        <v>843</v>
      </c>
      <c r="W12" s="10" t="n">
        <v>877</v>
      </c>
      <c r="X12" s="10" t="n">
        <v>806</v>
      </c>
      <c r="Y12" s="10" t="n">
        <v>841</v>
      </c>
      <c r="Z12" s="10" t="n">
        <v>881</v>
      </c>
      <c r="AA12" s="10" t="n">
        <v>839</v>
      </c>
      <c r="AB12" s="10" t="n">
        <v>820</v>
      </c>
      <c r="AC12" s="10" t="n">
        <v>896</v>
      </c>
      <c r="AD12" s="10" t="n">
        <v>852</v>
      </c>
      <c r="AE12" s="10" t="n">
        <v>868</v>
      </c>
      <c r="AF12" s="10" t="n">
        <v>908</v>
      </c>
      <c r="AG12" s="10" t="n">
        <v>907</v>
      </c>
      <c r="AH12" s="10" t="n">
        <v>833</v>
      </c>
    </row>
    <row r="13" customFormat="false" ht="15" hidden="false" customHeight="false" outlineLevel="0" collapsed="false">
      <c r="A13" s="7" t="s">
        <v>70</v>
      </c>
      <c r="B13" s="8" t="s">
        <v>71</v>
      </c>
      <c r="C13" s="8" t="s">
        <v>72</v>
      </c>
      <c r="D13" s="9" t="n">
        <v>2018</v>
      </c>
      <c r="E13" s="10" t="n">
        <v>96</v>
      </c>
      <c r="F13" s="10" t="n">
        <v>24</v>
      </c>
      <c r="G13" s="11" t="n">
        <v>280</v>
      </c>
      <c r="H13" s="10" t="s">
        <v>46</v>
      </c>
      <c r="I13" s="10" t="n">
        <v>157</v>
      </c>
      <c r="J13" s="10" t="s">
        <v>42</v>
      </c>
      <c r="K13" s="10" t="n">
        <v>839</v>
      </c>
      <c r="L13" s="10" t="n">
        <v>853</v>
      </c>
      <c r="M13" s="10" t="n">
        <v>807</v>
      </c>
      <c r="N13" s="10" t="n">
        <v>793</v>
      </c>
      <c r="O13" s="10" t="n">
        <v>885</v>
      </c>
      <c r="P13" s="10" t="n">
        <v>650</v>
      </c>
      <c r="Q13" s="10" t="n">
        <v>799</v>
      </c>
      <c r="R13" s="10" t="n">
        <v>856</v>
      </c>
      <c r="S13" s="10" t="n">
        <v>769</v>
      </c>
      <c r="T13" s="10" t="n">
        <v>900</v>
      </c>
      <c r="U13" s="10" t="n">
        <v>794</v>
      </c>
      <c r="V13" s="10" t="n">
        <v>857</v>
      </c>
      <c r="W13" s="10" t="n">
        <v>781</v>
      </c>
      <c r="X13" s="10" t="n">
        <v>826</v>
      </c>
      <c r="Y13" s="10" t="n">
        <v>863</v>
      </c>
      <c r="Z13" s="10" t="n">
        <v>815</v>
      </c>
      <c r="AA13" s="10" t="n">
        <v>803</v>
      </c>
      <c r="AB13" s="10" t="n">
        <v>833</v>
      </c>
      <c r="AC13" s="10" t="n">
        <v>786</v>
      </c>
      <c r="AD13" s="10" t="n">
        <v>857</v>
      </c>
      <c r="AE13" s="10" t="n">
        <v>853</v>
      </c>
      <c r="AF13" s="10" t="n">
        <v>828</v>
      </c>
      <c r="AG13" s="10" t="n">
        <v>941</v>
      </c>
      <c r="AH13" s="10" t="n">
        <v>827</v>
      </c>
    </row>
    <row r="14" customFormat="false" ht="15" hidden="false" customHeight="false" outlineLevel="0" collapsed="false">
      <c r="A14" s="7" t="s">
        <v>73</v>
      </c>
      <c r="B14" s="8" t="s">
        <v>74</v>
      </c>
      <c r="C14" s="8" t="s">
        <v>75</v>
      </c>
      <c r="D14" s="9" t="n">
        <v>2015</v>
      </c>
      <c r="E14" s="10" t="n">
        <v>132</v>
      </c>
      <c r="F14" s="10" t="n">
        <v>24</v>
      </c>
      <c r="G14" s="11" t="n">
        <v>150</v>
      </c>
      <c r="H14" s="10" t="s">
        <v>46</v>
      </c>
      <c r="I14" s="10" t="n">
        <v>159</v>
      </c>
      <c r="J14" s="10" t="s">
        <v>42</v>
      </c>
      <c r="K14" s="10" t="n">
        <v>680</v>
      </c>
      <c r="L14" s="10" t="n">
        <v>779</v>
      </c>
      <c r="M14" s="10" t="n">
        <v>829</v>
      </c>
      <c r="N14" s="10" t="n">
        <v>766</v>
      </c>
      <c r="O14" s="10" t="n">
        <v>740</v>
      </c>
      <c r="P14" s="10" t="n">
        <v>778</v>
      </c>
      <c r="Q14" s="10" t="n">
        <v>742</v>
      </c>
      <c r="R14" s="10" t="n">
        <v>795</v>
      </c>
      <c r="S14" s="10" t="n">
        <v>765</v>
      </c>
      <c r="T14" s="10" t="n">
        <v>830</v>
      </c>
      <c r="U14" s="10" t="n">
        <v>790</v>
      </c>
      <c r="V14" s="10" t="n">
        <v>735</v>
      </c>
      <c r="W14" s="10" t="n">
        <v>796</v>
      </c>
      <c r="X14" s="10" t="n">
        <v>812</v>
      </c>
      <c r="Y14" s="10" t="n">
        <v>744</v>
      </c>
      <c r="Z14" s="10" t="n">
        <v>751</v>
      </c>
      <c r="AA14" s="10" t="n">
        <v>666</v>
      </c>
      <c r="AB14" s="10" t="n">
        <v>813</v>
      </c>
      <c r="AC14" s="10" t="n">
        <v>746</v>
      </c>
      <c r="AD14" s="10" t="n">
        <v>676</v>
      </c>
      <c r="AE14" s="10" t="n">
        <v>693</v>
      </c>
      <c r="AF14" s="10" t="n">
        <v>764</v>
      </c>
      <c r="AG14" s="10" t="n">
        <v>810</v>
      </c>
      <c r="AH14" s="10" t="n">
        <v>772</v>
      </c>
    </row>
    <row r="15" customFormat="false" ht="15" hidden="false" customHeight="false" outlineLevel="0" collapsed="false">
      <c r="A15" s="7" t="s">
        <v>76</v>
      </c>
      <c r="B15" s="8" t="s">
        <v>77</v>
      </c>
      <c r="C15" s="8" t="s">
        <v>45</v>
      </c>
      <c r="D15" s="9" t="n">
        <v>2017</v>
      </c>
      <c r="E15" s="10" t="n">
        <v>108</v>
      </c>
      <c r="F15" s="10" t="n">
        <v>24</v>
      </c>
      <c r="G15" s="11" t="n">
        <v>330</v>
      </c>
      <c r="H15" s="10" t="s">
        <v>46</v>
      </c>
      <c r="I15" s="10" t="n">
        <v>156</v>
      </c>
      <c r="J15" s="10" t="s">
        <v>42</v>
      </c>
      <c r="K15" s="10" t="n">
        <v>544</v>
      </c>
      <c r="L15" s="10" t="n">
        <v>543</v>
      </c>
      <c r="M15" s="10" t="n">
        <v>496</v>
      </c>
      <c r="N15" s="10" t="n">
        <v>450</v>
      </c>
      <c r="O15" s="10" t="n">
        <v>502</v>
      </c>
      <c r="P15" s="10" t="n">
        <v>510</v>
      </c>
      <c r="Q15" s="10" t="n">
        <v>529</v>
      </c>
      <c r="R15" s="10" t="n">
        <v>520</v>
      </c>
      <c r="S15" s="10" t="n">
        <v>506</v>
      </c>
      <c r="T15" s="10" t="n">
        <v>577</v>
      </c>
      <c r="U15" s="10" t="n">
        <v>489</v>
      </c>
      <c r="V15" s="10" t="n">
        <v>557</v>
      </c>
      <c r="W15" s="10" t="n">
        <v>477</v>
      </c>
      <c r="X15" s="10" t="n">
        <v>537</v>
      </c>
      <c r="Y15" s="10" t="n">
        <v>511</v>
      </c>
      <c r="Z15" s="10" t="n">
        <v>532</v>
      </c>
      <c r="AA15" s="10" t="n">
        <v>498</v>
      </c>
      <c r="AB15" s="10" t="n">
        <v>463</v>
      </c>
      <c r="AC15" s="10" t="n">
        <v>444</v>
      </c>
      <c r="AD15" s="10" t="n">
        <v>504</v>
      </c>
      <c r="AE15" s="10" t="n">
        <v>516</v>
      </c>
      <c r="AF15" s="10" t="n">
        <v>510</v>
      </c>
      <c r="AG15" s="10" t="n">
        <v>500</v>
      </c>
      <c r="AH15" s="10" t="n">
        <v>528</v>
      </c>
    </row>
    <row r="16" customFormat="false" ht="15" hidden="false" customHeight="false" outlineLevel="0" collapsed="false">
      <c r="A16" s="7" t="s">
        <v>78</v>
      </c>
      <c r="B16" s="8" t="s">
        <v>79</v>
      </c>
      <c r="C16" s="8" t="s">
        <v>80</v>
      </c>
      <c r="D16" s="9" t="n">
        <v>2014</v>
      </c>
      <c r="E16" s="10" t="n">
        <v>150</v>
      </c>
      <c r="F16" s="10" t="n">
        <v>24</v>
      </c>
      <c r="G16" s="11" t="n">
        <v>70</v>
      </c>
      <c r="H16" s="10" t="s">
        <v>53</v>
      </c>
      <c r="I16" s="10" t="n">
        <v>115</v>
      </c>
      <c r="J16" s="10" t="s">
        <v>42</v>
      </c>
      <c r="K16" s="10" t="n">
        <v>338</v>
      </c>
      <c r="L16" s="10" t="n">
        <v>274</v>
      </c>
      <c r="M16" s="10" t="n">
        <v>304</v>
      </c>
      <c r="N16" s="10" t="n">
        <v>270</v>
      </c>
      <c r="O16" s="10" t="n">
        <v>330</v>
      </c>
      <c r="P16" s="10" t="n">
        <v>297</v>
      </c>
      <c r="Q16" s="10" t="n">
        <v>282</v>
      </c>
      <c r="R16" s="10" t="n">
        <v>252</v>
      </c>
      <c r="S16" s="10" t="n">
        <v>256</v>
      </c>
      <c r="T16" s="10" t="n">
        <v>261</v>
      </c>
      <c r="U16" s="10" t="n">
        <v>237</v>
      </c>
      <c r="V16" s="10" t="n">
        <v>200</v>
      </c>
      <c r="W16" s="10" t="n">
        <v>234</v>
      </c>
      <c r="X16" s="10" t="n">
        <v>234</v>
      </c>
      <c r="Y16" s="10" t="n">
        <v>191</v>
      </c>
      <c r="Z16" s="10" t="n">
        <v>180</v>
      </c>
      <c r="AA16" s="10" t="n">
        <v>194</v>
      </c>
      <c r="AB16" s="10" t="n">
        <v>183</v>
      </c>
      <c r="AC16" s="10" t="n">
        <v>162</v>
      </c>
      <c r="AD16" s="10" t="n">
        <v>168</v>
      </c>
      <c r="AE16" s="10" t="n">
        <v>143</v>
      </c>
      <c r="AF16" s="10" t="n">
        <v>172</v>
      </c>
      <c r="AG16" s="10" t="n">
        <v>171</v>
      </c>
      <c r="AH16" s="10" t="n">
        <v>152</v>
      </c>
    </row>
    <row r="17" customFormat="false" ht="15" hidden="false" customHeight="false" outlineLevel="0" collapsed="false">
      <c r="A17" s="7" t="s">
        <v>81</v>
      </c>
      <c r="B17" s="8" t="s">
        <v>82</v>
      </c>
      <c r="C17" s="8" t="s">
        <v>83</v>
      </c>
      <c r="D17" s="9" t="n">
        <v>2015</v>
      </c>
      <c r="E17" s="10" t="n">
        <v>132</v>
      </c>
      <c r="F17" s="10" t="n">
        <v>24</v>
      </c>
      <c r="G17" s="11" t="n">
        <v>160</v>
      </c>
      <c r="H17" s="10" t="s">
        <v>53</v>
      </c>
      <c r="I17" s="10" t="n">
        <v>100</v>
      </c>
      <c r="J17" s="10" t="s">
        <v>42</v>
      </c>
      <c r="K17" s="10" t="n">
        <v>312</v>
      </c>
      <c r="L17" s="10" t="n">
        <v>286</v>
      </c>
      <c r="M17" s="10" t="n">
        <v>281</v>
      </c>
      <c r="N17" s="10" t="n">
        <v>329</v>
      </c>
      <c r="O17" s="10" t="n">
        <v>275</v>
      </c>
      <c r="P17" s="10" t="n">
        <v>258</v>
      </c>
      <c r="Q17" s="10" t="n">
        <v>284</v>
      </c>
      <c r="R17" s="10" t="n">
        <v>262</v>
      </c>
      <c r="S17" s="10" t="n">
        <v>246</v>
      </c>
      <c r="T17" s="10" t="n">
        <v>287</v>
      </c>
      <c r="U17" s="10" t="n">
        <v>250</v>
      </c>
      <c r="V17" s="10" t="n">
        <v>277</v>
      </c>
      <c r="W17" s="10" t="n">
        <v>186</v>
      </c>
      <c r="X17" s="10" t="n">
        <v>233</v>
      </c>
      <c r="Y17" s="10" t="n">
        <v>223</v>
      </c>
      <c r="Z17" s="10" t="n">
        <v>209</v>
      </c>
      <c r="AA17" s="10" t="n">
        <v>213</v>
      </c>
      <c r="AB17" s="10" t="n">
        <v>204</v>
      </c>
      <c r="AC17" s="10" t="n">
        <v>187</v>
      </c>
      <c r="AD17" s="10" t="n">
        <v>158</v>
      </c>
      <c r="AE17" s="10" t="n">
        <v>158</v>
      </c>
      <c r="AF17" s="10" t="n">
        <v>160</v>
      </c>
      <c r="AG17" s="10" t="n">
        <v>143</v>
      </c>
      <c r="AH17" s="10" t="n">
        <v>147</v>
      </c>
    </row>
    <row r="18" customFormat="false" ht="15" hidden="false" customHeight="false" outlineLevel="0" collapsed="false">
      <c r="A18" s="7" t="s">
        <v>84</v>
      </c>
      <c r="B18" s="8" t="s">
        <v>85</v>
      </c>
      <c r="C18" s="8" t="s">
        <v>86</v>
      </c>
      <c r="D18" s="9" t="n">
        <v>2014</v>
      </c>
      <c r="E18" s="10" t="n">
        <v>144</v>
      </c>
      <c r="F18" s="10" t="n">
        <v>18</v>
      </c>
      <c r="G18" s="11" t="n">
        <v>190</v>
      </c>
      <c r="H18" s="10" t="s">
        <v>53</v>
      </c>
      <c r="I18" s="10" t="n">
        <v>120</v>
      </c>
      <c r="J18" s="10" t="s">
        <v>42</v>
      </c>
      <c r="K18" s="10" t="n">
        <v>334</v>
      </c>
      <c r="L18" s="10" t="n">
        <v>300</v>
      </c>
      <c r="M18" s="10" t="n">
        <v>328</v>
      </c>
      <c r="N18" s="10" t="n">
        <v>319</v>
      </c>
      <c r="O18" s="10" t="n">
        <v>288</v>
      </c>
      <c r="P18" s="10" t="n">
        <v>287</v>
      </c>
      <c r="Q18" s="10" t="n">
        <v>237</v>
      </c>
      <c r="R18" s="10" t="n">
        <v>289</v>
      </c>
      <c r="S18" s="10" t="n">
        <v>226</v>
      </c>
      <c r="T18" s="10" t="n">
        <v>248</v>
      </c>
      <c r="U18" s="10" t="n">
        <v>278</v>
      </c>
      <c r="V18" s="10" t="n">
        <v>251</v>
      </c>
      <c r="W18" s="10" t="n">
        <v>258</v>
      </c>
      <c r="X18" s="10" t="n">
        <v>225</v>
      </c>
      <c r="Y18" s="10" t="n">
        <v>221</v>
      </c>
      <c r="Z18" s="10" t="n">
        <v>191</v>
      </c>
      <c r="AA18" s="10" t="n">
        <v>248</v>
      </c>
      <c r="AB18" s="10" t="n">
        <v>193</v>
      </c>
      <c r="AC18" s="10" t="n">
        <v>192</v>
      </c>
      <c r="AD18" s="10" t="n">
        <v>178</v>
      </c>
      <c r="AE18" s="10" t="n">
        <v>115</v>
      </c>
      <c r="AF18" s="10" t="n">
        <v>126</v>
      </c>
      <c r="AG18" s="10" t="n">
        <v>153</v>
      </c>
      <c r="AH18" s="10" t="n">
        <v>103</v>
      </c>
    </row>
    <row r="19" customFormat="false" ht="15" hidden="false" customHeight="false" outlineLevel="0" collapsed="false">
      <c r="A19" s="7" t="s">
        <v>87</v>
      </c>
      <c r="B19" s="8" t="s">
        <v>88</v>
      </c>
      <c r="C19" s="8" t="s">
        <v>89</v>
      </c>
      <c r="D19" s="9" t="n">
        <v>2017</v>
      </c>
      <c r="E19" s="10" t="n">
        <v>110</v>
      </c>
      <c r="F19" s="10" t="n">
        <v>18</v>
      </c>
      <c r="G19" s="11" t="n">
        <v>260</v>
      </c>
      <c r="H19" s="10" t="s">
        <v>53</v>
      </c>
      <c r="I19" s="10" t="n">
        <v>85</v>
      </c>
      <c r="J19" s="10" t="s">
        <v>42</v>
      </c>
      <c r="K19" s="10" t="n">
        <v>309</v>
      </c>
      <c r="L19" s="10" t="n">
        <v>312</v>
      </c>
      <c r="M19" s="10" t="n">
        <v>284</v>
      </c>
      <c r="N19" s="10" t="n">
        <v>270</v>
      </c>
      <c r="O19" s="10" t="n">
        <v>304</v>
      </c>
      <c r="P19" s="10" t="n">
        <v>286</v>
      </c>
      <c r="Q19" s="10" t="n">
        <v>269</v>
      </c>
      <c r="R19" s="10" t="n">
        <v>288</v>
      </c>
      <c r="S19" s="10" t="n">
        <v>266</v>
      </c>
      <c r="T19" s="10" t="n">
        <v>235</v>
      </c>
      <c r="U19" s="10" t="n">
        <v>291</v>
      </c>
      <c r="V19" s="10" t="n">
        <v>253</v>
      </c>
      <c r="W19" s="10" t="n">
        <v>242</v>
      </c>
      <c r="X19" s="10" t="n">
        <v>228</v>
      </c>
      <c r="Y19" s="10" t="n">
        <v>265</v>
      </c>
      <c r="Z19" s="10" t="n">
        <v>190</v>
      </c>
      <c r="AA19" s="10" t="n">
        <v>187</v>
      </c>
      <c r="AB19" s="10" t="n">
        <v>179</v>
      </c>
      <c r="AC19" s="10" t="n">
        <v>156</v>
      </c>
      <c r="AD19" s="10" t="n">
        <v>182</v>
      </c>
      <c r="AE19" s="10" t="n">
        <v>170</v>
      </c>
      <c r="AF19" s="10" t="n">
        <v>159</v>
      </c>
      <c r="AG19" s="10" t="n">
        <v>141</v>
      </c>
      <c r="AH19" s="10" t="n">
        <v>169</v>
      </c>
    </row>
    <row r="20" customFormat="false" ht="15" hidden="false" customHeight="false" outlineLevel="0" collapsed="false">
      <c r="A20" s="7" t="s">
        <v>90</v>
      </c>
      <c r="B20" s="8" t="s">
        <v>91</v>
      </c>
      <c r="C20" s="8" t="s">
        <v>92</v>
      </c>
      <c r="D20" s="9" t="n">
        <v>2013</v>
      </c>
      <c r="E20" s="10" t="n">
        <v>160</v>
      </c>
      <c r="F20" s="10" t="n">
        <v>24</v>
      </c>
      <c r="G20" s="11" t="n">
        <v>180</v>
      </c>
      <c r="H20" s="10" t="s">
        <v>53</v>
      </c>
      <c r="I20" s="10" t="n">
        <v>45</v>
      </c>
      <c r="J20" s="10" t="s">
        <v>93</v>
      </c>
      <c r="K20" s="10" t="n">
        <v>98</v>
      </c>
      <c r="L20" s="10" t="n">
        <v>97</v>
      </c>
      <c r="M20" s="10" t="n">
        <v>95</v>
      </c>
      <c r="N20" s="10" t="n">
        <v>89</v>
      </c>
      <c r="O20" s="10" t="n">
        <v>81</v>
      </c>
      <c r="P20" s="10" t="n">
        <v>76</v>
      </c>
      <c r="Q20" s="10" t="n">
        <v>83</v>
      </c>
      <c r="R20" s="10" t="n">
        <v>74</v>
      </c>
      <c r="S20" s="10" t="n">
        <v>65</v>
      </c>
      <c r="T20" s="10" t="n">
        <v>68</v>
      </c>
      <c r="U20" s="10" t="n">
        <v>66</v>
      </c>
      <c r="V20" s="10" t="n">
        <v>61</v>
      </c>
      <c r="W20" s="10" t="n">
        <v>49</v>
      </c>
      <c r="X20" s="10" t="n">
        <v>59</v>
      </c>
      <c r="Y20" s="10" t="n">
        <v>50</v>
      </c>
      <c r="Z20" s="10" t="n">
        <v>51</v>
      </c>
      <c r="AA20" s="10" t="n">
        <v>42</v>
      </c>
      <c r="AB20" s="10" t="n">
        <v>58</v>
      </c>
      <c r="AC20" s="10" t="n">
        <v>44</v>
      </c>
      <c r="AD20" s="10" t="n">
        <v>33</v>
      </c>
      <c r="AE20" s="10" t="n">
        <v>34</v>
      </c>
      <c r="AF20" s="10" t="n">
        <v>29</v>
      </c>
      <c r="AG20" s="10" t="n">
        <v>35</v>
      </c>
      <c r="AH20" s="10" t="n">
        <v>27</v>
      </c>
    </row>
    <row r="21" customFormat="false" ht="15" hidden="false" customHeight="false" outlineLevel="0" collapsed="false">
      <c r="A21" s="7" t="s">
        <v>94</v>
      </c>
      <c r="B21" s="8" t="s">
        <v>95</v>
      </c>
      <c r="C21" s="8" t="s">
        <v>96</v>
      </c>
      <c r="D21" s="9" t="n">
        <v>2011</v>
      </c>
      <c r="E21" s="10" t="n">
        <v>175</v>
      </c>
      <c r="F21" s="10" t="n">
        <v>18</v>
      </c>
      <c r="G21" s="11" t="n">
        <v>120</v>
      </c>
      <c r="H21" s="10" t="s">
        <v>53</v>
      </c>
      <c r="I21" s="10" t="n">
        <v>50</v>
      </c>
      <c r="J21" s="10" t="s">
        <v>93</v>
      </c>
      <c r="K21" s="10" t="n">
        <v>87</v>
      </c>
      <c r="L21" s="10" t="n">
        <v>90</v>
      </c>
      <c r="M21" s="10" t="n">
        <v>97</v>
      </c>
      <c r="N21" s="10" t="n">
        <v>93</v>
      </c>
      <c r="O21" s="10" t="n">
        <v>87</v>
      </c>
      <c r="P21" s="10" t="n">
        <v>83</v>
      </c>
      <c r="Q21" s="10" t="n">
        <v>75</v>
      </c>
      <c r="R21" s="10" t="n">
        <v>62</v>
      </c>
      <c r="S21" s="10" t="n">
        <v>63</v>
      </c>
      <c r="T21" s="10" t="n">
        <v>74</v>
      </c>
      <c r="U21" s="10" t="n">
        <v>69</v>
      </c>
      <c r="V21" s="10" t="n">
        <v>69</v>
      </c>
      <c r="W21" s="10" t="n">
        <v>60</v>
      </c>
      <c r="X21" s="10" t="n">
        <v>66</v>
      </c>
      <c r="Y21" s="10" t="n">
        <v>46</v>
      </c>
      <c r="Z21" s="10" t="n">
        <v>53</v>
      </c>
      <c r="AA21" s="10" t="n">
        <v>58</v>
      </c>
      <c r="AB21" s="10" t="n">
        <v>41</v>
      </c>
      <c r="AC21" s="10" t="n">
        <v>54</v>
      </c>
      <c r="AD21" s="10" t="n">
        <v>39</v>
      </c>
      <c r="AE21" s="10" t="n">
        <v>38</v>
      </c>
      <c r="AF21" s="10" t="n">
        <v>25</v>
      </c>
      <c r="AG21" s="10" t="n">
        <v>42</v>
      </c>
      <c r="AH21" s="10" t="n">
        <v>30</v>
      </c>
    </row>
    <row r="22" customFormat="false" ht="15" hidden="false" customHeight="false" outlineLevel="0" collapsed="false">
      <c r="A22" s="7" t="s">
        <v>97</v>
      </c>
      <c r="B22" s="8" t="s">
        <v>98</v>
      </c>
      <c r="C22" s="8" t="s">
        <v>99</v>
      </c>
      <c r="D22" s="9" t="n">
        <v>2015</v>
      </c>
      <c r="E22" s="10" t="n">
        <v>130</v>
      </c>
      <c r="F22" s="10" t="n">
        <v>24</v>
      </c>
      <c r="G22" s="11" t="n">
        <v>60</v>
      </c>
      <c r="H22" s="10" t="s">
        <v>53</v>
      </c>
      <c r="I22" s="10" t="n">
        <v>38</v>
      </c>
      <c r="J22" s="10" t="s">
        <v>42</v>
      </c>
      <c r="K22" s="10" t="n">
        <v>79</v>
      </c>
      <c r="L22" s="10" t="n">
        <v>93</v>
      </c>
      <c r="M22" s="10" t="n">
        <v>96</v>
      </c>
      <c r="N22" s="10" t="n">
        <v>81</v>
      </c>
      <c r="O22" s="10" t="n">
        <v>80</v>
      </c>
      <c r="P22" s="10" t="n">
        <v>83</v>
      </c>
      <c r="Q22" s="10" t="n">
        <v>88</v>
      </c>
      <c r="R22" s="10" t="n">
        <v>77</v>
      </c>
      <c r="S22" s="10" t="n">
        <v>79</v>
      </c>
      <c r="T22" s="10" t="n">
        <v>81</v>
      </c>
      <c r="U22" s="10" t="n">
        <v>68</v>
      </c>
      <c r="V22" s="10" t="n">
        <v>67</v>
      </c>
      <c r="W22" s="10" t="n">
        <v>63</v>
      </c>
      <c r="X22" s="10" t="n">
        <v>55</v>
      </c>
      <c r="Y22" s="10" t="n">
        <v>60</v>
      </c>
      <c r="Z22" s="10" t="n">
        <v>49</v>
      </c>
      <c r="AA22" s="10" t="n">
        <v>43</v>
      </c>
      <c r="AB22" s="10" t="n">
        <v>50</v>
      </c>
      <c r="AC22" s="10" t="n">
        <v>54</v>
      </c>
      <c r="AD22" s="10" t="n">
        <v>48</v>
      </c>
      <c r="AE22" s="10" t="n">
        <v>43</v>
      </c>
      <c r="AF22" s="10" t="n">
        <v>38</v>
      </c>
      <c r="AG22" s="10" t="n">
        <v>25</v>
      </c>
      <c r="AH22" s="10" t="n">
        <v>28</v>
      </c>
    </row>
  </sheetData>
  <mergeCells count="1">
    <mergeCell ref="K1:A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100</v>
      </c>
    </row>
    <row r="2" customFormat="false" ht="23.85" hidden="false" customHeight="false" outlineLevel="0" collapsed="false">
      <c r="A2" s="6" t="s">
        <v>28</v>
      </c>
      <c r="B2" s="6" t="s">
        <v>29</v>
      </c>
      <c r="C2" s="6" t="s">
        <v>30</v>
      </c>
      <c r="D2" s="6" t="s">
        <v>32</v>
      </c>
      <c r="E2" s="6" t="s">
        <v>101</v>
      </c>
      <c r="F2" s="6" t="s">
        <v>102</v>
      </c>
      <c r="G2" s="6" t="s">
        <v>103</v>
      </c>
      <c r="H2" s="6" t="s">
        <v>104</v>
      </c>
      <c r="I2" s="6" t="s">
        <v>105</v>
      </c>
      <c r="J2" s="6" t="s">
        <v>106</v>
      </c>
      <c r="K2" s="6" t="s">
        <v>107</v>
      </c>
      <c r="M2" s="12" t="s">
        <v>108</v>
      </c>
      <c r="N2" s="12"/>
    </row>
    <row r="3" customFormat="false" ht="15" hidden="false" customHeight="false" outlineLevel="0" collapsed="false">
      <c r="A3" s="7" t="str">
        <f aca="false">'SKU Data'!A3</f>
        <v>SKU01</v>
      </c>
      <c r="B3" s="8" t="str">
        <f aca="false">'SKU Data'!B3</f>
        <v>Neo Bharat Latex Emulsion</v>
      </c>
      <c r="C3" s="8" t="str">
        <f aca="false">'SKU Data'!C3</f>
        <v>Interior emulsion (value)</v>
      </c>
      <c r="D3" s="7" t="n">
        <f aca="false">'SKU Data'!E3</f>
        <v>8</v>
      </c>
      <c r="E3" s="13" t="n">
        <f aca="false">AVERAGE('SKU Data'!W3:AH3)</f>
        <v>141.75</v>
      </c>
      <c r="F3" s="14" t="n">
        <f aca="false">STDEV('SKU Data'!W3:AH3)/AVERAGE('SKU Data'!W3:AH3)</f>
        <v>0.269056800886906</v>
      </c>
      <c r="G3" s="15" t="n">
        <f aca="false">SLOPE('SKU Data'!K3:AH3,'SKU Data'!$K$2:$AH$2)/AVERAGE('SKU Data'!K3:AH3)</f>
        <v>0.0669826337345519</v>
      </c>
      <c r="H3" s="15" t="n">
        <f aca="false">AVERAGE('SKU Data'!AC3:AH3)/AVERAGE('SKU Data'!W3:AB3)-1</f>
        <v>0.426533523537803</v>
      </c>
      <c r="I3" s="7" t="n">
        <f aca="false">'SKU Data'!I3</f>
        <v>35</v>
      </c>
      <c r="J3" s="7" t="str">
        <f aca="false">'SKU Data'!J3</f>
        <v>N</v>
      </c>
      <c r="K3" s="16" t="str">
        <f aca="false">IF($J3="Y","Exit",IF(AND($D3&lt;=$N$3,$H3&gt;=$N$4),"Introduction",IF($H3&gt;=$N$5,"Growth",IF(AND($H3&lt;=$N$7,$E3&lt;$N$8),"Exit",IF($H3&lt;=$N$6,"Decline","Maturity")))))</f>
        <v>Introduction</v>
      </c>
      <c r="M3" s="17" t="s">
        <v>109</v>
      </c>
      <c r="N3" s="18" t="n">
        <v>9</v>
      </c>
    </row>
    <row r="4" customFormat="false" ht="15" hidden="false" customHeight="false" outlineLevel="0" collapsed="false">
      <c r="A4" s="7" t="str">
        <f aca="false">'SKU Data'!A4</f>
        <v>SKU02</v>
      </c>
      <c r="B4" s="8" t="str">
        <f aca="false">'SKU Data'!B4</f>
        <v>Royale Health Shield</v>
      </c>
      <c r="C4" s="8" t="str">
        <f aca="false">'SKU Data'!C4</f>
        <v>Interior emulsion (premium)</v>
      </c>
      <c r="D4" s="7" t="n">
        <f aca="false">'SKU Data'!E4</f>
        <v>7</v>
      </c>
      <c r="E4" s="13" t="n">
        <f aca="false">AVERAGE('SKU Data'!W4:AH4)</f>
        <v>141.5</v>
      </c>
      <c r="F4" s="14" t="n">
        <f aca="false">STDEV('SKU Data'!W4:AH4)/AVERAGE('SKU Data'!W4:AH4)</f>
        <v>0.255672030114541</v>
      </c>
      <c r="G4" s="15" t="n">
        <f aca="false">SLOPE('SKU Data'!K4:AH4,'SKU Data'!$K$2:$AH$2)/AVERAGE('SKU Data'!K4:AH4)</f>
        <v>0.07536332966908</v>
      </c>
      <c r="H4" s="15" t="n">
        <f aca="false">AVERAGE('SKU Data'!AC4:AH4)/AVERAGE('SKU Data'!W4:AB4)-1</f>
        <v>0.205194805194805</v>
      </c>
      <c r="I4" s="7" t="n">
        <f aca="false">'SKU Data'!I4</f>
        <v>40</v>
      </c>
      <c r="J4" s="7" t="str">
        <f aca="false">'SKU Data'!J4</f>
        <v>N</v>
      </c>
      <c r="K4" s="16" t="str">
        <f aca="false">IF($J4="Y","Exit",IF(AND($D4&lt;=$N$3,$H4&gt;=$N$4),"Introduction",IF($H4&gt;=$N$5,"Growth",IF(AND($H4&lt;=$N$7,$E4&lt;$N$8),"Exit",IF($H4&lt;=$N$6,"Decline","Maturity")))))</f>
        <v>Introduction</v>
      </c>
      <c r="M4" s="17" t="s">
        <v>110</v>
      </c>
      <c r="N4" s="19" t="n">
        <v>0.08</v>
      </c>
    </row>
    <row r="5" customFormat="false" ht="15" hidden="false" customHeight="false" outlineLevel="0" collapsed="false">
      <c r="A5" s="7" t="str">
        <f aca="false">'SKU Data'!A5</f>
        <v>SKU03</v>
      </c>
      <c r="B5" s="8" t="str">
        <f aca="false">'SKU Data'!B5</f>
        <v>SmartCare Dampproof Ultra</v>
      </c>
      <c r="C5" s="8" t="str">
        <f aca="false">'SKU Data'!C5</f>
        <v>Waterproofing</v>
      </c>
      <c r="D5" s="7" t="n">
        <f aca="false">'SKU Data'!E5</f>
        <v>9</v>
      </c>
      <c r="E5" s="13" t="n">
        <f aca="false">AVERAGE('SKU Data'!W5:AH5)</f>
        <v>130.916666666667</v>
      </c>
      <c r="F5" s="14" t="n">
        <f aca="false">STDEV('SKU Data'!W5:AH5)/AVERAGE('SKU Data'!W5:AH5)</f>
        <v>0.269203330268502</v>
      </c>
      <c r="G5" s="15" t="n">
        <f aca="false">SLOPE('SKU Data'!K5:AH5,'SKU Data'!$K$2:$AH$2)/AVERAGE('SKU Data'!K5:AH5)</f>
        <v>0.0597563734124409</v>
      </c>
      <c r="H5" s="15" t="n">
        <f aca="false">AVERAGE('SKU Data'!AC5:AH5)/AVERAGE('SKU Data'!W5:AB5)-1</f>
        <v>0.330860534124629</v>
      </c>
      <c r="I5" s="7" t="n">
        <f aca="false">'SKU Data'!I5</f>
        <v>28</v>
      </c>
      <c r="J5" s="7" t="str">
        <f aca="false">'SKU Data'!J5</f>
        <v>N</v>
      </c>
      <c r="K5" s="16" t="str">
        <f aca="false">IF($J5="Y","Exit",IF(AND($D5&lt;=$N$3,$H5&gt;=$N$4),"Introduction",IF($H5&gt;=$N$5,"Growth",IF(AND($H5&lt;=$N$7,$E5&lt;$N$8),"Exit",IF($H5&lt;=$N$6,"Decline","Maturity")))))</f>
        <v>Introduction</v>
      </c>
      <c r="M5" s="17" t="s">
        <v>111</v>
      </c>
      <c r="N5" s="19" t="n">
        <v>0.15</v>
      </c>
    </row>
    <row r="6" customFormat="false" ht="15" hidden="false" customHeight="false" outlineLevel="0" collapsed="false">
      <c r="A6" s="7" t="str">
        <f aca="false">'SKU Data'!A6</f>
        <v>SKU04</v>
      </c>
      <c r="B6" s="8" t="str">
        <f aca="false">'SKU Data'!B6</f>
        <v>Beautiful Home Texture - Marrakesh</v>
      </c>
      <c r="C6" s="8" t="str">
        <f aca="false">'SKU Data'!C6</f>
        <v>Textures (decor)</v>
      </c>
      <c r="D6" s="7" t="n">
        <f aca="false">'SKU Data'!E6</f>
        <v>6</v>
      </c>
      <c r="E6" s="13" t="n">
        <f aca="false">AVERAGE('SKU Data'!W6:AH6)</f>
        <v>144.333333333333</v>
      </c>
      <c r="F6" s="14" t="n">
        <f aca="false">STDEV('SKU Data'!W6:AH6)/AVERAGE('SKU Data'!W6:AH6)</f>
        <v>0.183601781021656</v>
      </c>
      <c r="G6" s="15" t="n">
        <f aca="false">SLOPE('SKU Data'!K6:AH6,'SKU Data'!$K$2:$AH$2)/AVERAGE('SKU Data'!K6:AH6)</f>
        <v>0.0586899743638272</v>
      </c>
      <c r="H6" s="15" t="n">
        <f aca="false">AVERAGE('SKU Data'!AC6:AH6)/AVERAGE('SKU Data'!W6:AB6)-1</f>
        <v>0.246433203631647</v>
      </c>
      <c r="I6" s="7" t="n">
        <f aca="false">'SKU Data'!I6</f>
        <v>22</v>
      </c>
      <c r="J6" s="7" t="str">
        <f aca="false">'SKU Data'!J6</f>
        <v>N</v>
      </c>
      <c r="K6" s="16" t="str">
        <f aca="false">IF($J6="Y","Exit",IF(AND($D6&lt;=$N$3,$H6&gt;=$N$4),"Introduction",IF($H6&gt;=$N$5,"Growth",IF(AND($H6&lt;=$N$7,$E6&lt;$N$8),"Exit",IF($H6&lt;=$N$6,"Decline","Maturity")))))</f>
        <v>Introduction</v>
      </c>
      <c r="M6" s="17" t="s">
        <v>112</v>
      </c>
      <c r="N6" s="19" t="n">
        <v>-0.08</v>
      </c>
    </row>
    <row r="7" customFormat="false" ht="15" hidden="false" customHeight="false" outlineLevel="0" collapsed="false">
      <c r="A7" s="7" t="str">
        <f aca="false">'SKU Data'!A7</f>
        <v>SKU05</v>
      </c>
      <c r="B7" s="8" t="str">
        <f aca="false">'SKU Data'!B7</f>
        <v>SmartCare Damp Block</v>
      </c>
      <c r="C7" s="8" t="str">
        <f aca="false">'SKU Data'!C7</f>
        <v>Waterproofing</v>
      </c>
      <c r="D7" s="7" t="n">
        <f aca="false">'SKU Data'!E7</f>
        <v>24</v>
      </c>
      <c r="E7" s="13" t="n">
        <f aca="false">AVERAGE('SKU Data'!W7:AH7)</f>
        <v>241.416666666667</v>
      </c>
      <c r="F7" s="14" t="n">
        <f aca="false">STDEV('SKU Data'!W7:AH7)/AVERAGE('SKU Data'!W7:AH7)</f>
        <v>0.143332411997628</v>
      </c>
      <c r="G7" s="15" t="n">
        <f aca="false">SLOPE('SKU Data'!K7:AH7,'SKU Data'!$K$2:$AH$2)/AVERAGE('SKU Data'!K7:AH7)</f>
        <v>0.0349128422746977</v>
      </c>
      <c r="H7" s="15" t="n">
        <f aca="false">AVERAGE('SKU Data'!AC7:AH7)/AVERAGE('SKU Data'!W7:AB7)-1</f>
        <v>0.123900293255132</v>
      </c>
      <c r="I7" s="7" t="n">
        <f aca="false">'SKU Data'!I7</f>
        <v>95</v>
      </c>
      <c r="J7" s="7" t="str">
        <f aca="false">'SKU Data'!J7</f>
        <v>N</v>
      </c>
      <c r="K7" s="16" t="str">
        <f aca="false">IF($J7="Y","Exit",IF(AND($D7&lt;=$N$3,$H7&gt;=$N$4),"Introduction",IF($H7&gt;=$N$5,"Growth",IF(AND($H7&lt;=$N$7,$E7&lt;$N$8),"Exit",IF($H7&lt;=$N$6,"Decline","Maturity")))))</f>
        <v>Maturity</v>
      </c>
      <c r="M7" s="17" t="s">
        <v>113</v>
      </c>
      <c r="N7" s="19" t="n">
        <v>-0.1</v>
      </c>
    </row>
    <row r="8" customFormat="false" ht="15" hidden="false" customHeight="false" outlineLevel="0" collapsed="false">
      <c r="A8" s="7" t="str">
        <f aca="false">'SKU Data'!A8</f>
        <v>SKU06</v>
      </c>
      <c r="B8" s="8" t="str">
        <f aca="false">'SKU Data'!B8</f>
        <v>Apcolite All Protek Enamel</v>
      </c>
      <c r="C8" s="8" t="str">
        <f aca="false">'SKU Data'!C8</f>
        <v>Enamel</v>
      </c>
      <c r="D8" s="7" t="n">
        <f aca="false">'SKU Data'!E8</f>
        <v>22</v>
      </c>
      <c r="E8" s="13" t="n">
        <f aca="false">AVERAGE('SKU Data'!W8:AH8)</f>
        <v>217.083333333333</v>
      </c>
      <c r="F8" s="14" t="n">
        <f aca="false">STDEV('SKU Data'!W8:AH8)/AVERAGE('SKU Data'!W8:AH8)</f>
        <v>0.165979792873961</v>
      </c>
      <c r="G8" s="15" t="n">
        <f aca="false">SLOPE('SKU Data'!K8:AH8,'SKU Data'!$K$2:$AH$2)/AVERAGE('SKU Data'!K8:AH8)</f>
        <v>0.0321323558238915</v>
      </c>
      <c r="H8" s="15" t="n">
        <f aca="false">AVERAGE('SKU Data'!AC8:AH8)/AVERAGE('SKU Data'!W8:AB8)-1</f>
        <v>0.249568221070812</v>
      </c>
      <c r="I8" s="7" t="n">
        <f aca="false">'SKU Data'!I8</f>
        <v>80</v>
      </c>
      <c r="J8" s="7" t="str">
        <f aca="false">'SKU Data'!J8</f>
        <v>N</v>
      </c>
      <c r="K8" s="16" t="str">
        <f aca="false">IF($J8="Y","Exit",IF(AND($D8&lt;=$N$3,$H8&gt;=$N$4),"Introduction",IF($H8&gt;=$N$5,"Growth",IF(AND($H8&lt;=$N$7,$E8&lt;$N$8),"Exit",IF($H8&lt;=$N$6,"Decline","Maturity")))))</f>
        <v>Growth</v>
      </c>
      <c r="M8" s="17" t="s">
        <v>114</v>
      </c>
      <c r="N8" s="18" t="n">
        <v>60</v>
      </c>
    </row>
    <row r="9" customFormat="false" ht="15" hidden="false" customHeight="false" outlineLevel="0" collapsed="false">
      <c r="A9" s="7" t="str">
        <f aca="false">'SKU Data'!A9</f>
        <v>SKU07</v>
      </c>
      <c r="B9" s="8" t="str">
        <f aca="false">'SKU Data'!B9</f>
        <v>TruCare Wall Putty</v>
      </c>
      <c r="C9" s="8" t="str">
        <f aca="false">'SKU Data'!C9</f>
        <v>Putty / ancillary</v>
      </c>
      <c r="D9" s="7" t="n">
        <f aca="false">'SKU Data'!E9</f>
        <v>28</v>
      </c>
      <c r="E9" s="13" t="n">
        <f aca="false">AVERAGE('SKU Data'!W9:AH9)</f>
        <v>241.833333333333</v>
      </c>
      <c r="F9" s="14" t="n">
        <f aca="false">STDEV('SKU Data'!W9:AH9)/AVERAGE('SKU Data'!W9:AH9)</f>
        <v>0.174011622275069</v>
      </c>
      <c r="G9" s="15" t="n">
        <f aca="false">SLOPE('SKU Data'!K9:AH9,'SKU Data'!$K$2:$AH$2)/AVERAGE('SKU Data'!K9:AH9)</f>
        <v>0.0456552882664377</v>
      </c>
      <c r="H9" s="15" t="n">
        <f aca="false">AVERAGE('SKU Data'!AC9:AH9)/AVERAGE('SKU Data'!W9:AB9)-1</f>
        <v>0.216959511077158</v>
      </c>
      <c r="I9" s="7" t="n">
        <f aca="false">'SKU Data'!I9</f>
        <v>110</v>
      </c>
      <c r="J9" s="7" t="str">
        <f aca="false">'SKU Data'!J9</f>
        <v>N</v>
      </c>
      <c r="K9" s="16" t="str">
        <f aca="false">IF($J9="Y","Exit",IF(AND($D9&lt;=$N$3,$H9&gt;=$N$4),"Introduction",IF($H9&gt;=$N$5,"Growth",IF(AND($H9&lt;=$N$7,$E9&lt;$N$8),"Exit",IF($H9&lt;=$N$6,"Decline","Maturity")))))</f>
        <v>Growth</v>
      </c>
    </row>
    <row r="10" customFormat="false" ht="15" hidden="false" customHeight="false" outlineLevel="0" collapsed="false">
      <c r="A10" s="7" t="str">
        <f aca="false">'SKU Data'!A10</f>
        <v>SKU08</v>
      </c>
      <c r="B10" s="8" t="str">
        <f aca="false">'SKU Data'!B10</f>
        <v>Royale Aspira</v>
      </c>
      <c r="C10" s="8" t="str">
        <f aca="false">'SKU Data'!C10</f>
        <v>Interior emulsion (premium)</v>
      </c>
      <c r="D10" s="7" t="n">
        <f aca="false">'SKU Data'!E10</f>
        <v>26</v>
      </c>
      <c r="E10" s="13" t="n">
        <f aca="false">AVERAGE('SKU Data'!W10:AH10)</f>
        <v>234.333333333333</v>
      </c>
      <c r="F10" s="14" t="n">
        <f aca="false">STDEV('SKU Data'!W10:AH10)/AVERAGE('SKU Data'!W10:AH10)</f>
        <v>0.154319031268273</v>
      </c>
      <c r="G10" s="15" t="n">
        <f aca="false">SLOPE('SKU Data'!K10:AH10,'SKU Data'!$K$2:$AH$2)/AVERAGE('SKU Data'!K10:AH10)</f>
        <v>0.0403001661224724</v>
      </c>
      <c r="H10" s="15" t="n">
        <f aca="false">AVERAGE('SKU Data'!AC10:AH10)/AVERAGE('SKU Data'!W10:AB10)-1</f>
        <v>0.203761755485893</v>
      </c>
      <c r="I10" s="7" t="n">
        <f aca="false">'SKU Data'!I10</f>
        <v>90</v>
      </c>
      <c r="J10" s="7" t="str">
        <f aca="false">'SKU Data'!J10</f>
        <v>N</v>
      </c>
      <c r="K10" s="16" t="str">
        <f aca="false">IF($J10="Y","Exit",IF(AND($D10&lt;=$N$3,$H10&gt;=$N$4),"Introduction",IF($H10&gt;=$N$5,"Growth",IF(AND($H10&lt;=$N$7,$E10&lt;$N$8),"Exit",IF($H10&lt;=$N$6,"Decline","Maturity")))))</f>
        <v>Growth</v>
      </c>
    </row>
    <row r="11" customFormat="false" ht="15" hidden="false" customHeight="false" outlineLevel="0" collapsed="false">
      <c r="A11" s="7" t="str">
        <f aca="false">'SKU Data'!A11</f>
        <v>SKU09</v>
      </c>
      <c r="B11" s="8" t="str">
        <f aca="false">'SKU Data'!B11</f>
        <v>Apcolite Premium Emulsion</v>
      </c>
      <c r="C11" s="8" t="str">
        <f aca="false">'SKU Data'!C11</f>
        <v>Interior emulsion</v>
      </c>
      <c r="D11" s="7" t="n">
        <f aca="false">'SKU Data'!E11</f>
        <v>120</v>
      </c>
      <c r="E11" s="13" t="n">
        <f aca="false">AVERAGE('SKU Data'!W11:AH11)</f>
        <v>572.333333333333</v>
      </c>
      <c r="F11" s="14" t="n">
        <f aca="false">STDEV('SKU Data'!W11:AH11)/AVERAGE('SKU Data'!W11:AH11)</f>
        <v>0.0505482153149589</v>
      </c>
      <c r="G11" s="15" t="n">
        <f aca="false">SLOPE('SKU Data'!K11:AH11,'SKU Data'!$K$2:$AH$2)/AVERAGE('SKU Data'!K11:AH11)</f>
        <v>-0.00105004576493494</v>
      </c>
      <c r="H11" s="15" t="n">
        <f aca="false">AVERAGE('SKU Data'!AC11:AH11)/AVERAGE('SKU Data'!W11:AB11)-1</f>
        <v>-0.0218894009216589</v>
      </c>
      <c r="I11" s="7" t="n">
        <f aca="false">'SKU Data'!I11</f>
        <v>158</v>
      </c>
      <c r="J11" s="7" t="str">
        <f aca="false">'SKU Data'!J11</f>
        <v>N</v>
      </c>
      <c r="K11" s="16" t="str">
        <f aca="false">IF($J11="Y","Exit",IF(AND($D11&lt;=$N$3,$H11&gt;=$N$4),"Introduction",IF($H11&gt;=$N$5,"Growth",IF(AND($H11&lt;=$N$7,$E11&lt;$N$8),"Exit",IF($H11&lt;=$N$6,"Decline","Maturity")))))</f>
        <v>Maturity</v>
      </c>
    </row>
    <row r="12" customFormat="false" ht="15" hidden="false" customHeight="false" outlineLevel="0" collapsed="false">
      <c r="A12" s="7" t="str">
        <f aca="false">'SKU Data'!A12</f>
        <v>SKU10</v>
      </c>
      <c r="B12" s="8" t="str">
        <f aca="false">'SKU Data'!B12</f>
        <v>Tractor Emulsion Sparc</v>
      </c>
      <c r="C12" s="8" t="str">
        <f aca="false">'SKU Data'!C12</f>
        <v>Interior emulsion (economy)</v>
      </c>
      <c r="D12" s="7" t="n">
        <f aca="false">'SKU Data'!E12</f>
        <v>140</v>
      </c>
      <c r="E12" s="13" t="n">
        <f aca="false">AVERAGE('SKU Data'!W12:AH12)</f>
        <v>860.666666666667</v>
      </c>
      <c r="F12" s="14" t="n">
        <f aca="false">STDEV('SKU Data'!W12:AH12)/AVERAGE('SKU Data'!W12:AH12)</f>
        <v>0.0394928675420683</v>
      </c>
      <c r="G12" s="15" t="n">
        <f aca="false">SLOPE('SKU Data'!K12:AH12,'SKU Data'!$K$2:$AH$2)/AVERAGE('SKU Data'!K12:AH12)</f>
        <v>0.00213628291037632</v>
      </c>
      <c r="H12" s="15" t="n">
        <f aca="false">AVERAGE('SKU Data'!AC12:AH12)/AVERAGE('SKU Data'!W12:AB12)-1</f>
        <v>0.0394944707740916</v>
      </c>
      <c r="I12" s="7" t="n">
        <f aca="false">'SKU Data'!I12</f>
        <v>160</v>
      </c>
      <c r="J12" s="7" t="str">
        <f aca="false">'SKU Data'!J12</f>
        <v>N</v>
      </c>
      <c r="K12" s="16" t="str">
        <f aca="false">IF($J12="Y","Exit",IF(AND($D12&lt;=$N$3,$H12&gt;=$N$4),"Introduction",IF($H12&gt;=$N$5,"Growth",IF(AND($H12&lt;=$N$7,$E12&lt;$N$8),"Exit",IF($H12&lt;=$N$6,"Decline","Maturity")))))</f>
        <v>Maturity</v>
      </c>
    </row>
    <row r="13" customFormat="false" ht="15" hidden="false" customHeight="false" outlineLevel="0" collapsed="false">
      <c r="A13" s="7" t="str">
        <f aca="false">'SKU Data'!A13</f>
        <v>SKU11</v>
      </c>
      <c r="B13" s="8" t="str">
        <f aca="false">'SKU Data'!B13</f>
        <v>Apex Ultima Exterior</v>
      </c>
      <c r="C13" s="8" t="str">
        <f aca="false">'SKU Data'!C13</f>
        <v>Exterior emulsion (premium)</v>
      </c>
      <c r="D13" s="7" t="n">
        <f aca="false">'SKU Data'!E13</f>
        <v>96</v>
      </c>
      <c r="E13" s="13" t="n">
        <f aca="false">AVERAGE('SKU Data'!W13:AH13)</f>
        <v>834.416666666667</v>
      </c>
      <c r="F13" s="14" t="n">
        <f aca="false">STDEV('SKU Data'!W13:AH13)/AVERAGE('SKU Data'!W13:AH13)</f>
        <v>0.0507979524242085</v>
      </c>
      <c r="G13" s="15" t="n">
        <f aca="false">SLOPE('SKU Data'!K13:AH13,'SKU Data'!$K$2:$AH$2)/AVERAGE('SKU Data'!K13:AH13)</f>
        <v>0.00231339894019682</v>
      </c>
      <c r="H13" s="15" t="n">
        <f aca="false">AVERAGE('SKU Data'!AC13:AH13)/AVERAGE('SKU Data'!W13:AB13)-1</f>
        <v>0.0347490347490347</v>
      </c>
      <c r="I13" s="7" t="n">
        <f aca="false">'SKU Data'!I13</f>
        <v>157</v>
      </c>
      <c r="J13" s="7" t="str">
        <f aca="false">'SKU Data'!J13</f>
        <v>N</v>
      </c>
      <c r="K13" s="16" t="str">
        <f aca="false">IF($J13="Y","Exit",IF(AND($D13&lt;=$N$3,$H13&gt;=$N$4),"Introduction",IF($H13&gt;=$N$5,"Growth",IF(AND($H13&lt;=$N$7,$E13&lt;$N$8),"Exit",IF($H13&lt;=$N$6,"Decline","Maturity")))))</f>
        <v>Maturity</v>
      </c>
    </row>
    <row r="14" customFormat="false" ht="15" hidden="false" customHeight="false" outlineLevel="0" collapsed="false">
      <c r="A14" s="7" t="str">
        <f aca="false">'SKU Data'!A14</f>
        <v>SKU12</v>
      </c>
      <c r="B14" s="8" t="str">
        <f aca="false">'SKU Data'!B14</f>
        <v>Ace Exterior Emulsion</v>
      </c>
      <c r="C14" s="8" t="str">
        <f aca="false">'SKU Data'!C14</f>
        <v>Exterior emulsion (economy)</v>
      </c>
      <c r="D14" s="7" t="n">
        <f aca="false">'SKU Data'!E14</f>
        <v>132</v>
      </c>
      <c r="E14" s="13" t="n">
        <f aca="false">AVERAGE('SKU Data'!W14:AH14)</f>
        <v>753.583333333333</v>
      </c>
      <c r="F14" s="14" t="n">
        <f aca="false">STDEV('SKU Data'!W14:AH14)/AVERAGE('SKU Data'!W14:AH14)</f>
        <v>0.0691715423923819</v>
      </c>
      <c r="G14" s="15" t="n">
        <f aca="false">SLOPE('SKU Data'!K14:AH14,'SKU Data'!$K$2:$AH$2)/AVERAGE('SKU Data'!K14:AH14)</f>
        <v>-0.00106563618365948</v>
      </c>
      <c r="H14" s="15" t="n">
        <f aca="false">AVERAGE('SKU Data'!AC14:AH14)/AVERAGE('SKU Data'!W14:AB14)-1</f>
        <v>-0.0264076822348319</v>
      </c>
      <c r="I14" s="7" t="n">
        <f aca="false">'SKU Data'!I14</f>
        <v>159</v>
      </c>
      <c r="J14" s="7" t="str">
        <f aca="false">'SKU Data'!J14</f>
        <v>N</v>
      </c>
      <c r="K14" s="16" t="str">
        <f aca="false">IF($J14="Y","Exit",IF(AND($D14&lt;=$N$3,$H14&gt;=$N$4),"Introduction",IF($H14&gt;=$N$5,"Growth",IF(AND($H14&lt;=$N$7,$E14&lt;$N$8),"Exit",IF($H14&lt;=$N$6,"Decline","Maturity")))))</f>
        <v>Maturity</v>
      </c>
    </row>
    <row r="15" customFormat="false" ht="15" hidden="false" customHeight="false" outlineLevel="0" collapsed="false">
      <c r="A15" s="7" t="str">
        <f aca="false">'SKU Data'!A15</f>
        <v>SKU13</v>
      </c>
      <c r="B15" s="8" t="str">
        <f aca="false">'SKU Data'!B15</f>
        <v>Royale Luxury Emulsion</v>
      </c>
      <c r="C15" s="8" t="str">
        <f aca="false">'SKU Data'!C15</f>
        <v>Interior emulsion (premium)</v>
      </c>
      <c r="D15" s="7" t="n">
        <f aca="false">'SKU Data'!E15</f>
        <v>108</v>
      </c>
      <c r="E15" s="13" t="n">
        <f aca="false">AVERAGE('SKU Data'!W15:AH15)</f>
        <v>501.666666666667</v>
      </c>
      <c r="F15" s="14" t="n">
        <f aca="false">STDEV('SKU Data'!W15:AH15)/AVERAGE('SKU Data'!W15:AH15)</f>
        <v>0.0559776690258428</v>
      </c>
      <c r="G15" s="15" t="n">
        <f aca="false">SLOPE('SKU Data'!K15:AH15,'SKU Data'!$K$2:$AH$2)/AVERAGE('SKU Data'!K15:AH15)</f>
        <v>-0.00146511404919937</v>
      </c>
      <c r="H15" s="15" t="n">
        <f aca="false">AVERAGE('SKU Data'!AC15:AH15)/AVERAGE('SKU Data'!W15:AB15)-1</f>
        <v>-0.00530152418820418</v>
      </c>
      <c r="I15" s="7" t="n">
        <f aca="false">'SKU Data'!I15</f>
        <v>156</v>
      </c>
      <c r="J15" s="7" t="str">
        <f aca="false">'SKU Data'!J15</f>
        <v>N</v>
      </c>
      <c r="K15" s="16" t="str">
        <f aca="false">IF($J15="Y","Exit",IF(AND($D15&lt;=$N$3,$H15&gt;=$N$4),"Introduction",IF($H15&gt;=$N$5,"Growth",IF(AND($H15&lt;=$N$7,$E15&lt;$N$8),"Exit",IF($H15&lt;=$N$6,"Decline","Maturity")))))</f>
        <v>Maturity</v>
      </c>
    </row>
    <row r="16" customFormat="false" ht="15" hidden="false" customHeight="false" outlineLevel="0" collapsed="false">
      <c r="A16" s="7" t="str">
        <f aca="false">'SKU Data'!A16</f>
        <v>SKU14</v>
      </c>
      <c r="B16" s="8" t="str">
        <f aca="false">'SKU Data'!B16</f>
        <v>Utsav Distemper</v>
      </c>
      <c r="C16" s="8" t="str">
        <f aca="false">'SKU Data'!C16</f>
        <v>Distemper</v>
      </c>
      <c r="D16" s="7" t="n">
        <f aca="false">'SKU Data'!E16</f>
        <v>150</v>
      </c>
      <c r="E16" s="13" t="n">
        <f aca="false">AVERAGE('SKU Data'!W16:AH16)</f>
        <v>182</v>
      </c>
      <c r="F16" s="14" t="n">
        <f aca="false">STDEV('SKU Data'!W16:AH16)/AVERAGE('SKU Data'!W16:AH16)</f>
        <v>0.156077721438666</v>
      </c>
      <c r="G16" s="15" t="n">
        <f aca="false">SLOPE('SKU Data'!K16:AH16,'SKU Data'!$K$2:$AH$2)/AVERAGE('SKU Data'!K16:AH16)</f>
        <v>-0.0337889104672823</v>
      </c>
      <c r="H16" s="15" t="n">
        <f aca="false">AVERAGE('SKU Data'!AC16:AH16)/AVERAGE('SKU Data'!W16:AB16)-1</f>
        <v>-0.203947368421053</v>
      </c>
      <c r="I16" s="7" t="n">
        <f aca="false">'SKU Data'!I16</f>
        <v>115</v>
      </c>
      <c r="J16" s="7" t="str">
        <f aca="false">'SKU Data'!J16</f>
        <v>N</v>
      </c>
      <c r="K16" s="16" t="str">
        <f aca="false">IF($J16="Y","Exit",IF(AND($D16&lt;=$N$3,$H16&gt;=$N$4),"Introduction",IF($H16&gt;=$N$5,"Growth",IF(AND($H16&lt;=$N$7,$E16&lt;$N$8),"Exit",IF($H16&lt;=$N$6,"Decline","Maturity")))))</f>
        <v>Decline</v>
      </c>
    </row>
    <row r="17" customFormat="false" ht="15" hidden="false" customHeight="false" outlineLevel="0" collapsed="false">
      <c r="A17" s="7" t="str">
        <f aca="false">'SKU Data'!A17</f>
        <v>SKU15</v>
      </c>
      <c r="B17" s="8" t="str">
        <f aca="false">'SKU Data'!B17</f>
        <v>Apex (legacy exterior)</v>
      </c>
      <c r="C17" s="8" t="str">
        <f aca="false">'SKU Data'!C17</f>
        <v>Exterior emulsion (legacy)</v>
      </c>
      <c r="D17" s="7" t="n">
        <f aca="false">'SKU Data'!E17</f>
        <v>132</v>
      </c>
      <c r="E17" s="13" t="n">
        <f aca="false">AVERAGE('SKU Data'!W17:AH17)</f>
        <v>185.083333333333</v>
      </c>
      <c r="F17" s="14" t="n">
        <f aca="false">STDEV('SKU Data'!W17:AH17)/AVERAGE('SKU Data'!W17:AH17)</f>
        <v>0.169021394704072</v>
      </c>
      <c r="G17" s="15" t="n">
        <f aca="false">SLOPE('SKU Data'!K17:AH17,'SKU Data'!$K$2:$AH$2)/AVERAGE('SKU Data'!K17:AH17)</f>
        <v>-0.0313418290854573</v>
      </c>
      <c r="H17" s="15" t="n">
        <f aca="false">AVERAGE('SKU Data'!AC17:AH17)/AVERAGE('SKU Data'!W17:AB17)-1</f>
        <v>-0.248422712933754</v>
      </c>
      <c r="I17" s="7" t="n">
        <f aca="false">'SKU Data'!I17</f>
        <v>100</v>
      </c>
      <c r="J17" s="7" t="str">
        <f aca="false">'SKU Data'!J17</f>
        <v>N</v>
      </c>
      <c r="K17" s="16" t="str">
        <f aca="false">IF($J17="Y","Exit",IF(AND($D17&lt;=$N$3,$H17&gt;=$N$4),"Introduction",IF($H17&gt;=$N$5,"Growth",IF(AND($H17&lt;=$N$7,$E17&lt;$N$8),"Exit",IF($H17&lt;=$N$6,"Decline","Maturity")))))</f>
        <v>Decline</v>
      </c>
    </row>
    <row r="18" customFormat="false" ht="15" hidden="false" customHeight="false" outlineLevel="0" collapsed="false">
      <c r="A18" s="7" t="str">
        <f aca="false">'SKU Data'!A18</f>
        <v>SKU16</v>
      </c>
      <c r="B18" s="8" t="str">
        <f aca="false">'SKU Data'!B18</f>
        <v>Apcolite Synthetic Enamel</v>
      </c>
      <c r="C18" s="8" t="str">
        <f aca="false">'SKU Data'!C18</f>
        <v>Enamel (solvent-based)</v>
      </c>
      <c r="D18" s="7" t="n">
        <f aca="false">'SKU Data'!E18</f>
        <v>144</v>
      </c>
      <c r="E18" s="13" t="n">
        <f aca="false">AVERAGE('SKU Data'!W18:AH18)</f>
        <v>183.583333333333</v>
      </c>
      <c r="F18" s="14" t="n">
        <f aca="false">STDEV('SKU Data'!W18:AH18)/AVERAGE('SKU Data'!W18:AH18)</f>
        <v>0.277248587684591</v>
      </c>
      <c r="G18" s="15" t="n">
        <f aca="false">SLOPE('SKU Data'!K18:AH18,'SKU Data'!$K$2:$AH$2)/AVERAGE('SKU Data'!K18:AH18)</f>
        <v>-0.0373022937350223</v>
      </c>
      <c r="H18" s="15" t="n">
        <f aca="false">AVERAGE('SKU Data'!AC18:AH18)/AVERAGE('SKU Data'!W18:AB18)-1</f>
        <v>-0.351047904191617</v>
      </c>
      <c r="I18" s="7" t="n">
        <f aca="false">'SKU Data'!I18</f>
        <v>120</v>
      </c>
      <c r="J18" s="7" t="str">
        <f aca="false">'SKU Data'!J18</f>
        <v>N</v>
      </c>
      <c r="K18" s="16" t="str">
        <f aca="false">IF($J18="Y","Exit",IF(AND($D18&lt;=$N$3,$H18&gt;=$N$4),"Introduction",IF($H18&gt;=$N$5,"Growth",IF(AND($H18&lt;=$N$7,$E18&lt;$N$8),"Exit",IF($H18&lt;=$N$6,"Decline","Maturity")))))</f>
        <v>Decline</v>
      </c>
    </row>
    <row r="19" customFormat="false" ht="15" hidden="false" customHeight="false" outlineLevel="0" collapsed="false">
      <c r="A19" s="7" t="str">
        <f aca="false">'SKU Data'!A19</f>
        <v>SKU17</v>
      </c>
      <c r="B19" s="8" t="str">
        <f aca="false">'SKU Data'!B19</f>
        <v>Woodtech Melamine (older)</v>
      </c>
      <c r="C19" s="8" t="str">
        <f aca="false">'SKU Data'!C19</f>
        <v>Wood finish (legacy)</v>
      </c>
      <c r="D19" s="7" t="n">
        <f aca="false">'SKU Data'!E19</f>
        <v>110</v>
      </c>
      <c r="E19" s="13" t="n">
        <f aca="false">AVERAGE('SKU Data'!W19:AH19)</f>
        <v>189</v>
      </c>
      <c r="F19" s="14" t="n">
        <f aca="false">STDEV('SKU Data'!W19:AH19)/AVERAGE('SKU Data'!W19:AH19)</f>
        <v>0.197417739429588</v>
      </c>
      <c r="G19" s="15" t="n">
        <f aca="false">SLOPE('SKU Data'!K19:AH19,'SKU Data'!$K$2:$AH$2)/AVERAGE('SKU Data'!K19:AH19)</f>
        <v>-0.0312710157787122</v>
      </c>
      <c r="H19" s="15" t="n">
        <f aca="false">AVERAGE('SKU Data'!AC19:AH19)/AVERAGE('SKU Data'!W19:AB19)-1</f>
        <v>-0.243222308288149</v>
      </c>
      <c r="I19" s="7" t="n">
        <f aca="false">'SKU Data'!I19</f>
        <v>85</v>
      </c>
      <c r="J19" s="7" t="str">
        <f aca="false">'SKU Data'!J19</f>
        <v>N</v>
      </c>
      <c r="K19" s="16" t="str">
        <f aca="false">IF($J19="Y","Exit",IF(AND($D19&lt;=$N$3,$H19&gt;=$N$4),"Introduction",IF($H19&gt;=$N$5,"Growth",IF(AND($H19&lt;=$N$7,$E19&lt;$N$8),"Exit",IF($H19&lt;=$N$6,"Decline","Maturity")))))</f>
        <v>Decline</v>
      </c>
    </row>
    <row r="20" customFormat="false" ht="15" hidden="false" customHeight="false" outlineLevel="0" collapsed="false">
      <c r="A20" s="7" t="str">
        <f aca="false">'SKU Data'!A20</f>
        <v>SKU18</v>
      </c>
      <c r="B20" s="8" t="str">
        <f aca="false">'SKU Data'!B20</f>
        <v>Discontinued Shade Family R</v>
      </c>
      <c r="C20" s="8" t="str">
        <f aca="false">'SKU Data'!C20</f>
        <v>Interior emulsion (legacy)</v>
      </c>
      <c r="D20" s="7" t="n">
        <f aca="false">'SKU Data'!E20</f>
        <v>160</v>
      </c>
      <c r="E20" s="13" t="n">
        <f aca="false">AVERAGE('SKU Data'!W20:AH20)</f>
        <v>42.5833333333333</v>
      </c>
      <c r="F20" s="14" t="n">
        <f aca="false">STDEV('SKU Data'!W20:AH20)/AVERAGE('SKU Data'!W20:AH20)</f>
        <v>0.25792047970152</v>
      </c>
      <c r="G20" s="15" t="n">
        <f aca="false">SLOPE('SKU Data'!K20:AH20,'SKU Data'!$K$2:$AH$2)/AVERAGE('SKU Data'!K20:AH20)</f>
        <v>-0.0502066999287242</v>
      </c>
      <c r="H20" s="15" t="n">
        <f aca="false">AVERAGE('SKU Data'!AC20:AH20)/AVERAGE('SKU Data'!W20:AB20)-1</f>
        <v>-0.346278317152104</v>
      </c>
      <c r="I20" s="7" t="n">
        <f aca="false">'SKU Data'!I20</f>
        <v>45</v>
      </c>
      <c r="J20" s="7" t="str">
        <f aca="false">'SKU Data'!J20</f>
        <v>Y</v>
      </c>
      <c r="K20" s="16" t="str">
        <f aca="false">IF($J20="Y","Exit",IF(AND($D20&lt;=$N$3,$H20&gt;=$N$4),"Introduction",IF($H20&gt;=$N$5,"Growth",IF(AND($H20&lt;=$N$7,$E20&lt;$N$8),"Exit",IF($H20&lt;=$N$6,"Decline","Maturity")))))</f>
        <v>Exit</v>
      </c>
    </row>
    <row r="21" customFormat="false" ht="15" hidden="false" customHeight="false" outlineLevel="0" collapsed="false">
      <c r="A21" s="7" t="str">
        <f aca="false">'SKU Data'!A21</f>
        <v>SKU19</v>
      </c>
      <c r="B21" s="8" t="str">
        <f aca="false">'SKU Data'!B21</f>
        <v>Solvent Primer (legacy)</v>
      </c>
      <c r="C21" s="8" t="str">
        <f aca="false">'SKU Data'!C21</f>
        <v>Undercoat (solvent)</v>
      </c>
      <c r="D21" s="7" t="n">
        <f aca="false">'SKU Data'!E21</f>
        <v>175</v>
      </c>
      <c r="E21" s="13" t="n">
        <f aca="false">AVERAGE('SKU Data'!W21:AH21)</f>
        <v>46</v>
      </c>
      <c r="F21" s="14" t="n">
        <f aca="false">STDEV('SKU Data'!W21:AH21)/AVERAGE('SKU Data'!W21:AH21)</f>
        <v>0.270570610120551</v>
      </c>
      <c r="G21" s="15" t="n">
        <f aca="false">SLOPE('SKU Data'!K21:AH21,'SKU Data'!$K$2:$AH$2)/AVERAGE('SKU Data'!K21:AH21)</f>
        <v>-0.0441931465979202</v>
      </c>
      <c r="H21" s="15" t="n">
        <f aca="false">AVERAGE('SKU Data'!AC21:AH21)/AVERAGE('SKU Data'!W21:AB21)-1</f>
        <v>-0.296296296296296</v>
      </c>
      <c r="I21" s="7" t="n">
        <f aca="false">'SKU Data'!I21</f>
        <v>50</v>
      </c>
      <c r="J21" s="7" t="str">
        <f aca="false">'SKU Data'!J21</f>
        <v>Y</v>
      </c>
      <c r="K21" s="16" t="str">
        <f aca="false">IF($J21="Y","Exit",IF(AND($D21&lt;=$N$3,$H21&gt;=$N$4),"Introduction",IF($H21&gt;=$N$5,"Growth",IF(AND($H21&lt;=$N$7,$E21&lt;$N$8),"Exit",IF($H21&lt;=$N$6,"Decline","Maturity")))))</f>
        <v>Exit</v>
      </c>
    </row>
    <row r="22" customFormat="false" ht="15" hidden="false" customHeight="false" outlineLevel="0" collapsed="false">
      <c r="A22" s="7" t="str">
        <f aca="false">'SKU Data'!A22</f>
        <v>SKU20</v>
      </c>
      <c r="B22" s="8" t="str">
        <f aca="false">'SKU Data'!B22</f>
        <v>Regional Distemper (legacy)</v>
      </c>
      <c r="C22" s="8" t="str">
        <f aca="false">'SKU Data'!C22</f>
        <v>Distemper (regional)</v>
      </c>
      <c r="D22" s="7" t="n">
        <f aca="false">'SKU Data'!E22</f>
        <v>130</v>
      </c>
      <c r="E22" s="13" t="n">
        <f aca="false">AVERAGE('SKU Data'!W22:AH22)</f>
        <v>46.3333333333333</v>
      </c>
      <c r="F22" s="14" t="n">
        <f aca="false">STDEV('SKU Data'!W22:AH22)/AVERAGE('SKU Data'!W22:AH22)</f>
        <v>0.25242377765627</v>
      </c>
      <c r="G22" s="15" t="n">
        <f aca="false">SLOPE('SKU Data'!K22:AH22,'SKU Data'!$K$2:$AH$2)/AVERAGE('SKU Data'!K22:AH22)</f>
        <v>-0.0429410425677214</v>
      </c>
      <c r="H22" s="15" t="n">
        <f aca="false">AVERAGE('SKU Data'!AC22:AH22)/AVERAGE('SKU Data'!W22:AB22)-1</f>
        <v>-0.2625</v>
      </c>
      <c r="I22" s="7" t="n">
        <f aca="false">'SKU Data'!I22</f>
        <v>38</v>
      </c>
      <c r="J22" s="7" t="str">
        <f aca="false">'SKU Data'!J22</f>
        <v>N</v>
      </c>
      <c r="K22" s="16" t="str">
        <f aca="false">IF($J22="Y","Exit",IF(AND($D22&lt;=$N$3,$H22&gt;=$N$4),"Introduction",IF($H22&gt;=$N$5,"Growth",IF(AND($H22&lt;=$N$7,$E22&lt;$N$8),"Exit",IF($H22&lt;=$N$6,"Decline","Maturity")))))</f>
        <v>Exit</v>
      </c>
    </row>
  </sheetData>
  <mergeCells count="1">
    <mergeCell ref="M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7" min="6" style="0" width="9"/>
    <col collapsed="false" customWidth="true" hidden="false" outlineLevel="0" max="8" min="8" style="0" width="6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3" min="12" style="0" width="8"/>
    <col collapsed="false" customWidth="true" hidden="false" outlineLevel="0" max="14" min="14" style="0" width="15"/>
    <col collapsed="false" customWidth="true" hidden="false" outlineLevel="0" max="15" min="15" style="0" width="14"/>
    <col collapsed="false" customWidth="true" hidden="false" outlineLevel="0" max="16" min="16" style="0" width="15"/>
    <col collapsed="false" customWidth="true" hidden="false" outlineLevel="0" max="17" min="17" style="0" width="11"/>
    <col collapsed="false" customWidth="true" hidden="false" outlineLevel="0" max="19" min="18" style="0" width="15"/>
  </cols>
  <sheetData>
    <row r="1" customFormat="false" ht="17.35" hidden="false" customHeight="false" outlineLevel="0" collapsed="false">
      <c r="A1" s="1" t="s">
        <v>115</v>
      </c>
    </row>
    <row r="2" customFormat="false" ht="23.85" hidden="false" customHeight="false" outlineLevel="0" collapsed="false">
      <c r="A2" s="6" t="s">
        <v>116</v>
      </c>
      <c r="B2" s="6" t="s">
        <v>117</v>
      </c>
      <c r="C2" s="6" t="s">
        <v>118</v>
      </c>
      <c r="D2" s="6" t="s">
        <v>119</v>
      </c>
      <c r="E2" s="6" t="s">
        <v>120</v>
      </c>
      <c r="F2" s="6" t="s">
        <v>121</v>
      </c>
      <c r="G2" s="6" t="s">
        <v>122</v>
      </c>
      <c r="H2" s="6" t="s">
        <v>105</v>
      </c>
      <c r="J2" s="12" t="s">
        <v>123</v>
      </c>
      <c r="K2" s="12"/>
    </row>
    <row r="3" customFormat="false" ht="15" hidden="false" customHeight="false" outlineLevel="0" collapsed="false">
      <c r="A3" s="20" t="s">
        <v>124</v>
      </c>
      <c r="B3" s="21" t="n">
        <v>0.98</v>
      </c>
      <c r="C3" s="14" t="n">
        <f aca="false">NORMSINV(B3)</f>
        <v>2.05374891063182</v>
      </c>
      <c r="D3" s="10" t="n">
        <v>21</v>
      </c>
      <c r="E3" s="10" t="n">
        <v>24</v>
      </c>
      <c r="F3" s="10" t="n">
        <v>17</v>
      </c>
      <c r="G3" s="10" t="s">
        <v>125</v>
      </c>
      <c r="H3" s="10" t="n">
        <v>40</v>
      </c>
      <c r="J3" s="17" t="s">
        <v>126</v>
      </c>
      <c r="K3" s="22" t="n">
        <v>36</v>
      </c>
    </row>
    <row r="4" customFormat="false" ht="15" hidden="false" customHeight="false" outlineLevel="0" collapsed="false">
      <c r="A4" s="20" t="s">
        <v>127</v>
      </c>
      <c r="B4" s="21" t="n">
        <v>0.97</v>
      </c>
      <c r="C4" s="14" t="n">
        <f aca="false">NORMSINV(B4)</f>
        <v>1.88079360815125</v>
      </c>
      <c r="D4" s="10" t="n">
        <v>18</v>
      </c>
      <c r="E4" s="10" t="n">
        <v>30</v>
      </c>
      <c r="F4" s="10" t="n">
        <v>16</v>
      </c>
      <c r="G4" s="10" t="s">
        <v>128</v>
      </c>
      <c r="H4" s="10" t="n">
        <v>110</v>
      </c>
      <c r="J4" s="23" t="s">
        <v>129</v>
      </c>
    </row>
    <row r="5" customFormat="false" ht="15" hidden="false" customHeight="false" outlineLevel="0" collapsed="false">
      <c r="A5" s="20" t="s">
        <v>130</v>
      </c>
      <c r="B5" s="21" t="n">
        <v>0.96</v>
      </c>
      <c r="C5" s="14" t="n">
        <f aca="false">NORMSINV(B5)</f>
        <v>1.75068607125217</v>
      </c>
      <c r="D5" s="10" t="n">
        <v>14</v>
      </c>
      <c r="E5" s="10" t="n">
        <v>28</v>
      </c>
      <c r="F5" s="10" t="n">
        <v>8</v>
      </c>
      <c r="G5" s="10" t="s">
        <v>131</v>
      </c>
      <c r="H5" s="10" t="n">
        <v>160</v>
      </c>
    </row>
    <row r="6" customFormat="false" ht="15" hidden="false" customHeight="false" outlineLevel="0" collapsed="false">
      <c r="A6" s="20" t="s">
        <v>132</v>
      </c>
      <c r="B6" s="21" t="n">
        <v>0.92</v>
      </c>
      <c r="C6" s="14" t="n">
        <f aca="false">NORMSINV(B6)</f>
        <v>1.40507156030963</v>
      </c>
      <c r="D6" s="10" t="n">
        <v>18</v>
      </c>
      <c r="E6" s="10" t="n">
        <v>12</v>
      </c>
      <c r="F6" s="10" t="n">
        <v>4</v>
      </c>
      <c r="G6" s="10" t="s">
        <v>133</v>
      </c>
      <c r="H6" s="10" t="n">
        <v>70</v>
      </c>
    </row>
    <row r="7" customFormat="false" ht="15" hidden="false" customHeight="false" outlineLevel="0" collapsed="false">
      <c r="A7" s="20" t="s">
        <v>134</v>
      </c>
      <c r="B7" s="21" t="n">
        <v>0.85</v>
      </c>
      <c r="C7" s="14" t="n">
        <f aca="false">NORMSINV(B7)</f>
        <v>1.03643338949379</v>
      </c>
      <c r="D7" s="10" t="n">
        <v>21</v>
      </c>
      <c r="E7" s="10" t="n">
        <v>6</v>
      </c>
      <c r="F7" s="10" t="n">
        <v>1</v>
      </c>
      <c r="G7" s="10" t="s">
        <v>135</v>
      </c>
      <c r="H7" s="10" t="n">
        <v>20</v>
      </c>
    </row>
    <row r="10" customFormat="false" ht="23.85" hidden="false" customHeight="false" outlineLevel="0" collapsed="false">
      <c r="A10" s="6" t="s">
        <v>29</v>
      </c>
      <c r="B10" s="6" t="s">
        <v>116</v>
      </c>
      <c r="C10" s="6" t="s">
        <v>101</v>
      </c>
      <c r="D10" s="6" t="s">
        <v>136</v>
      </c>
      <c r="E10" s="6" t="s">
        <v>102</v>
      </c>
      <c r="F10" s="6" t="s">
        <v>137</v>
      </c>
      <c r="G10" s="6" t="s">
        <v>138</v>
      </c>
      <c r="H10" s="6" t="s">
        <v>139</v>
      </c>
      <c r="I10" s="6" t="s">
        <v>140</v>
      </c>
      <c r="J10" s="6" t="s">
        <v>120</v>
      </c>
      <c r="K10" s="6" t="s">
        <v>121</v>
      </c>
      <c r="L10" s="6" t="s">
        <v>141</v>
      </c>
      <c r="M10" s="6" t="s">
        <v>142</v>
      </c>
      <c r="N10" s="6" t="s">
        <v>143</v>
      </c>
      <c r="O10" s="6" t="s">
        <v>144</v>
      </c>
      <c r="P10" s="6" t="s">
        <v>145</v>
      </c>
      <c r="Q10" s="6" t="s">
        <v>146</v>
      </c>
      <c r="R10" s="6" t="s">
        <v>147</v>
      </c>
      <c r="S10" s="6" t="s">
        <v>148</v>
      </c>
    </row>
    <row r="11" customFormat="false" ht="15" hidden="false" customHeight="false" outlineLevel="0" collapsed="false">
      <c r="A11" s="8" t="str">
        <f aca="false">Classification!B3</f>
        <v>Neo Bharat Latex Emulsion</v>
      </c>
      <c r="B11" s="16" t="str">
        <f aca="false">Classification!K3</f>
        <v>Introduction</v>
      </c>
      <c r="C11" s="13" t="n">
        <f aca="false">Classification!E3</f>
        <v>141.75</v>
      </c>
      <c r="D11" s="24" t="n">
        <f aca="false">C11/30</f>
        <v>4.725</v>
      </c>
      <c r="E11" s="14" t="n">
        <f aca="false">Classification!F3</f>
        <v>0.269056800886906</v>
      </c>
      <c r="F11" s="13" t="n">
        <f aca="false">E11*C11</f>
        <v>38.138801525719</v>
      </c>
      <c r="G11" s="13" t="n">
        <f aca="false">'SKU Data'!G3</f>
        <v>90</v>
      </c>
      <c r="H11" s="14" t="n">
        <f aca="false">INDEX($C$3:$C$7,MATCH($B11,$A$3:$A$7,0))</f>
        <v>2.05374891063182</v>
      </c>
      <c r="I11" s="7" t="n">
        <f aca="false">INDEX($D$3:$D$7,MATCH($B11,$A$3:$A$7,0))</f>
        <v>21</v>
      </c>
      <c r="J11" s="7" t="n">
        <f aca="false">INDEX($E$3:$E$7,MATCH($B11,$A$3:$A$7,0))</f>
        <v>24</v>
      </c>
      <c r="K11" s="7" t="n">
        <f aca="false">INDEX($F$3:$F$7,MATCH($B11,$A$3:$A$7,0))</f>
        <v>17</v>
      </c>
      <c r="L11" s="13" t="n">
        <f aca="false">H11*F11*SQRT(I11/30)</f>
        <v>65.5335067070291</v>
      </c>
      <c r="M11" s="13" t="n">
        <f aca="false">L11/D11</f>
        <v>13.8695252290009</v>
      </c>
      <c r="N11" s="25" t="n">
        <f aca="false">M11+J11/2+K11</f>
        <v>42.8695252290009</v>
      </c>
      <c r="O11" s="13" t="n">
        <f aca="false">N11*D11</f>
        <v>202.558506707029</v>
      </c>
      <c r="P11" s="13" t="n">
        <f aca="false">O11*G11/100</f>
        <v>182.302656036326</v>
      </c>
      <c r="Q11" s="7" t="n">
        <f aca="false">$K$3</f>
        <v>36</v>
      </c>
      <c r="R11" s="13" t="n">
        <f aca="false">Q11*D11*G11/100</f>
        <v>153.09</v>
      </c>
      <c r="S11" s="26" t="n">
        <f aca="false">R11-P11</f>
        <v>-29.2126560363262</v>
      </c>
    </row>
    <row r="12" customFormat="false" ht="15" hidden="false" customHeight="false" outlineLevel="0" collapsed="false">
      <c r="A12" s="8" t="str">
        <f aca="false">Classification!B4</f>
        <v>Royale Health Shield</v>
      </c>
      <c r="B12" s="16" t="str">
        <f aca="false">Classification!K4</f>
        <v>Introduction</v>
      </c>
      <c r="C12" s="13" t="n">
        <f aca="false">Classification!E4</f>
        <v>141.5</v>
      </c>
      <c r="D12" s="24" t="n">
        <f aca="false">C12/30</f>
        <v>4.71666666666667</v>
      </c>
      <c r="E12" s="14" t="n">
        <f aca="false">Classification!F4</f>
        <v>0.255672030114541</v>
      </c>
      <c r="F12" s="13" t="n">
        <f aca="false">E12*C12</f>
        <v>36.1775922612075</v>
      </c>
      <c r="G12" s="13" t="n">
        <f aca="false">'SKU Data'!G4</f>
        <v>320</v>
      </c>
      <c r="H12" s="14" t="n">
        <f aca="false">INDEX($C$3:$C$7,MATCH($B12,$A$3:$A$7,0))</f>
        <v>2.05374891063182</v>
      </c>
      <c r="I12" s="7" t="n">
        <f aca="false">INDEX($D$3:$D$7,MATCH($B12,$A$3:$A$7,0))</f>
        <v>21</v>
      </c>
      <c r="J12" s="7" t="n">
        <f aca="false">INDEX($E$3:$E$7,MATCH($B12,$A$3:$A$7,0))</f>
        <v>24</v>
      </c>
      <c r="K12" s="7" t="n">
        <f aca="false">INDEX($F$3:$F$7,MATCH($B12,$A$3:$A$7,0))</f>
        <v>17</v>
      </c>
      <c r="L12" s="13" t="n">
        <f aca="false">H12*F12*SQRT(I12/30)</f>
        <v>62.1635811889691</v>
      </c>
      <c r="M12" s="13" t="n">
        <f aca="false">L12/D12</f>
        <v>13.1795578492514</v>
      </c>
      <c r="N12" s="25" t="n">
        <f aca="false">M12+J12/2+K12</f>
        <v>42.1795578492514</v>
      </c>
      <c r="O12" s="13" t="n">
        <f aca="false">N12*D12</f>
        <v>198.946914522302</v>
      </c>
      <c r="P12" s="13" t="n">
        <f aca="false">O12*G12/100</f>
        <v>636.630126471368</v>
      </c>
      <c r="Q12" s="7" t="n">
        <f aca="false">$K$3</f>
        <v>36</v>
      </c>
      <c r="R12" s="13" t="n">
        <f aca="false">Q12*D12*G12/100</f>
        <v>543.36</v>
      </c>
      <c r="S12" s="26" t="n">
        <f aca="false">R12-P12</f>
        <v>-93.2701264713678</v>
      </c>
    </row>
    <row r="13" customFormat="false" ht="15" hidden="false" customHeight="false" outlineLevel="0" collapsed="false">
      <c r="A13" s="8" t="str">
        <f aca="false">Classification!B5</f>
        <v>SmartCare Dampproof Ultra</v>
      </c>
      <c r="B13" s="16" t="str">
        <f aca="false">Classification!K5</f>
        <v>Introduction</v>
      </c>
      <c r="C13" s="13" t="n">
        <f aca="false">Classification!E5</f>
        <v>130.916666666667</v>
      </c>
      <c r="D13" s="24" t="n">
        <f aca="false">C13/30</f>
        <v>4.36388888888889</v>
      </c>
      <c r="E13" s="14" t="n">
        <f aca="false">Classification!F5</f>
        <v>0.269203330268502</v>
      </c>
      <c r="F13" s="13" t="n">
        <f aca="false">E13*C13</f>
        <v>35.2432026543181</v>
      </c>
      <c r="G13" s="13" t="n">
        <f aca="false">'SKU Data'!G5</f>
        <v>210</v>
      </c>
      <c r="H13" s="14" t="n">
        <f aca="false">INDEX($C$3:$C$7,MATCH($B13,$A$3:$A$7,0))</f>
        <v>2.05374891063182</v>
      </c>
      <c r="I13" s="7" t="n">
        <f aca="false">INDEX($D$3:$D$7,MATCH($B13,$A$3:$A$7,0))</f>
        <v>21</v>
      </c>
      <c r="J13" s="7" t="n">
        <f aca="false">INDEX($E$3:$E$7,MATCH($B13,$A$3:$A$7,0))</f>
        <v>24</v>
      </c>
      <c r="K13" s="7" t="n">
        <f aca="false">INDEX($F$3:$F$7,MATCH($B13,$A$3:$A$7,0))</f>
        <v>17</v>
      </c>
      <c r="L13" s="13" t="n">
        <f aca="false">H13*F13*SQRT(I13/30)</f>
        <v>60.5580292282245</v>
      </c>
      <c r="M13" s="13" t="n">
        <f aca="false">L13/D13</f>
        <v>13.877078626455</v>
      </c>
      <c r="N13" s="25" t="n">
        <f aca="false">M13+J13/2+K13</f>
        <v>42.877078626455</v>
      </c>
      <c r="O13" s="13" t="n">
        <f aca="false">N13*D13</f>
        <v>187.110807006002</v>
      </c>
      <c r="P13" s="13" t="n">
        <f aca="false">O13*G13/100</f>
        <v>392.932694712605</v>
      </c>
      <c r="Q13" s="7" t="n">
        <f aca="false">$K$3</f>
        <v>36</v>
      </c>
      <c r="R13" s="13" t="n">
        <f aca="false">Q13*D13*G13/100</f>
        <v>329.91</v>
      </c>
      <c r="S13" s="26" t="n">
        <f aca="false">R13-P13</f>
        <v>-63.0226947126048</v>
      </c>
    </row>
    <row r="14" customFormat="false" ht="15" hidden="false" customHeight="false" outlineLevel="0" collapsed="false">
      <c r="A14" s="8" t="str">
        <f aca="false">Classification!B6</f>
        <v>Beautiful Home Texture - Marrakesh</v>
      </c>
      <c r="B14" s="16" t="str">
        <f aca="false">Classification!K6</f>
        <v>Introduction</v>
      </c>
      <c r="C14" s="13" t="n">
        <f aca="false">Classification!E6</f>
        <v>144.333333333333</v>
      </c>
      <c r="D14" s="24" t="n">
        <f aca="false">C14/30</f>
        <v>4.81111111111111</v>
      </c>
      <c r="E14" s="14" t="n">
        <f aca="false">Classification!F6</f>
        <v>0.183601781021656</v>
      </c>
      <c r="F14" s="13" t="n">
        <f aca="false">E14*C14</f>
        <v>26.4998570607923</v>
      </c>
      <c r="G14" s="13" t="n">
        <f aca="false">'SKU Data'!G6</f>
        <v>400</v>
      </c>
      <c r="H14" s="14" t="n">
        <f aca="false">INDEX($C$3:$C$7,MATCH($B14,$A$3:$A$7,0))</f>
        <v>2.05374891063182</v>
      </c>
      <c r="I14" s="7" t="n">
        <f aca="false">INDEX($D$3:$D$7,MATCH($B14,$A$3:$A$7,0))</f>
        <v>21</v>
      </c>
      <c r="J14" s="7" t="n">
        <f aca="false">INDEX($E$3:$E$7,MATCH($B14,$A$3:$A$7,0))</f>
        <v>24</v>
      </c>
      <c r="K14" s="7" t="n">
        <f aca="false">INDEX($F$3:$F$7,MATCH($B14,$A$3:$A$7,0))</f>
        <v>17</v>
      </c>
      <c r="L14" s="13" t="n">
        <f aca="false">H14*F14*SQRT(I14/30)</f>
        <v>45.5344292677275</v>
      </c>
      <c r="M14" s="13" t="n">
        <f aca="false">L14/D14</f>
        <v>9.46443102562465</v>
      </c>
      <c r="N14" s="25" t="n">
        <f aca="false">M14+J14/2+K14</f>
        <v>38.4644310256247</v>
      </c>
      <c r="O14" s="13" t="n">
        <f aca="false">N14*D14</f>
        <v>185.05665148995</v>
      </c>
      <c r="P14" s="13" t="n">
        <f aca="false">O14*G14/100</f>
        <v>740.226605959799</v>
      </c>
      <c r="Q14" s="7" t="n">
        <f aca="false">$K$3</f>
        <v>36</v>
      </c>
      <c r="R14" s="13" t="n">
        <f aca="false">Q14*D14*G14/100</f>
        <v>692.8</v>
      </c>
      <c r="S14" s="26" t="n">
        <f aca="false">R14-P14</f>
        <v>-47.426605959799</v>
      </c>
    </row>
    <row r="15" customFormat="false" ht="15" hidden="false" customHeight="false" outlineLevel="0" collapsed="false">
      <c r="A15" s="8" t="str">
        <f aca="false">Classification!B7</f>
        <v>SmartCare Damp Block</v>
      </c>
      <c r="B15" s="16" t="str">
        <f aca="false">Classification!K7</f>
        <v>Maturity</v>
      </c>
      <c r="C15" s="13" t="n">
        <f aca="false">Classification!E7</f>
        <v>241.416666666667</v>
      </c>
      <c r="D15" s="24" t="n">
        <f aca="false">C15/30</f>
        <v>8.04722222222222</v>
      </c>
      <c r="E15" s="14" t="n">
        <f aca="false">Classification!F7</f>
        <v>0.143332411997628</v>
      </c>
      <c r="F15" s="13" t="n">
        <f aca="false">E15*C15</f>
        <v>34.6028331297606</v>
      </c>
      <c r="G15" s="13" t="n">
        <f aca="false">'SKU Data'!G7</f>
        <v>180</v>
      </c>
      <c r="H15" s="14" t="n">
        <f aca="false">INDEX($C$3:$C$7,MATCH($B15,$A$3:$A$7,0))</f>
        <v>1.75068607125217</v>
      </c>
      <c r="I15" s="7" t="n">
        <f aca="false">INDEX($D$3:$D$7,MATCH($B15,$A$3:$A$7,0))</f>
        <v>14</v>
      </c>
      <c r="J15" s="7" t="n">
        <f aca="false">INDEX($E$3:$E$7,MATCH($B15,$A$3:$A$7,0))</f>
        <v>28</v>
      </c>
      <c r="K15" s="7" t="n">
        <f aca="false">INDEX($F$3:$F$7,MATCH($B15,$A$3:$A$7,0))</f>
        <v>8</v>
      </c>
      <c r="L15" s="13" t="n">
        <f aca="false">H15*F15*SQRT(I15/30)</f>
        <v>41.3831290486575</v>
      </c>
      <c r="M15" s="13" t="n">
        <f aca="false">L15/D15</f>
        <v>5.14253588454149</v>
      </c>
      <c r="N15" s="25" t="n">
        <f aca="false">M15+J15/2+K15</f>
        <v>27.1425358845415</v>
      </c>
      <c r="O15" s="13" t="n">
        <f aca="false">N15*D15</f>
        <v>218.422017937546</v>
      </c>
      <c r="P15" s="13" t="n">
        <f aca="false">O15*G15/100</f>
        <v>393.159632287583</v>
      </c>
      <c r="Q15" s="7" t="n">
        <f aca="false">$K$3</f>
        <v>36</v>
      </c>
      <c r="R15" s="13" t="n">
        <f aca="false">Q15*D15*G15/100</f>
        <v>521.46</v>
      </c>
      <c r="S15" s="26" t="n">
        <f aca="false">R15-P15</f>
        <v>128.300367712417</v>
      </c>
    </row>
    <row r="16" customFormat="false" ht="15" hidden="false" customHeight="false" outlineLevel="0" collapsed="false">
      <c r="A16" s="8" t="str">
        <f aca="false">Classification!B8</f>
        <v>Apcolite All Protek Enamel</v>
      </c>
      <c r="B16" s="16" t="str">
        <f aca="false">Classification!K8</f>
        <v>Growth</v>
      </c>
      <c r="C16" s="13" t="n">
        <f aca="false">Classification!E8</f>
        <v>217.083333333333</v>
      </c>
      <c r="D16" s="24" t="n">
        <f aca="false">C16/30</f>
        <v>7.23611111111111</v>
      </c>
      <c r="E16" s="14" t="n">
        <f aca="false">Classification!F8</f>
        <v>0.165979792873961</v>
      </c>
      <c r="F16" s="13" t="n">
        <f aca="false">E16*C16</f>
        <v>36.0314467030558</v>
      </c>
      <c r="G16" s="13" t="n">
        <f aca="false">'SKU Data'!G8</f>
        <v>240</v>
      </c>
      <c r="H16" s="14" t="n">
        <f aca="false">INDEX($C$3:$C$7,MATCH($B16,$A$3:$A$7,0))</f>
        <v>1.88079360815125</v>
      </c>
      <c r="I16" s="7" t="n">
        <f aca="false">INDEX($D$3:$D$7,MATCH($B16,$A$3:$A$7,0))</f>
        <v>18</v>
      </c>
      <c r="J16" s="7" t="n">
        <f aca="false">INDEX($E$3:$E$7,MATCH($B16,$A$3:$A$7,0))</f>
        <v>30</v>
      </c>
      <c r="K16" s="7" t="n">
        <f aca="false">INDEX($F$3:$F$7,MATCH($B16,$A$3:$A$7,0))</f>
        <v>16</v>
      </c>
      <c r="L16" s="13" t="n">
        <f aca="false">H16*F16*SQRT(I16/30)</f>
        <v>52.4926460511978</v>
      </c>
      <c r="M16" s="13" t="n">
        <f aca="false">L16/D16</f>
        <v>7.25426202626917</v>
      </c>
      <c r="N16" s="25" t="n">
        <f aca="false">M16+J16/2+K16</f>
        <v>38.2542620262692</v>
      </c>
      <c r="O16" s="13" t="n">
        <f aca="false">N16*D16</f>
        <v>276.812090495642</v>
      </c>
      <c r="P16" s="13" t="n">
        <f aca="false">O16*G16/100</f>
        <v>664.349017189541</v>
      </c>
      <c r="Q16" s="7" t="n">
        <f aca="false">$K$3</f>
        <v>36</v>
      </c>
      <c r="R16" s="13" t="n">
        <f aca="false">Q16*D16*G16/100</f>
        <v>625.2</v>
      </c>
      <c r="S16" s="26" t="n">
        <f aca="false">R16-P16</f>
        <v>-39.1490171895413</v>
      </c>
    </row>
    <row r="17" customFormat="false" ht="15" hidden="false" customHeight="false" outlineLevel="0" collapsed="false">
      <c r="A17" s="8" t="str">
        <f aca="false">Classification!B9</f>
        <v>TruCare Wall Putty</v>
      </c>
      <c r="B17" s="16" t="str">
        <f aca="false">Classification!K9</f>
        <v>Growth</v>
      </c>
      <c r="C17" s="13" t="n">
        <f aca="false">Classification!E9</f>
        <v>241.833333333333</v>
      </c>
      <c r="D17" s="24" t="n">
        <f aca="false">C17/30</f>
        <v>8.06111111111111</v>
      </c>
      <c r="E17" s="14" t="n">
        <f aca="false">Classification!F9</f>
        <v>0.174011622275069</v>
      </c>
      <c r="F17" s="13" t="n">
        <f aca="false">E17*C17</f>
        <v>42.0818106535209</v>
      </c>
      <c r="G17" s="13" t="n">
        <f aca="false">'SKU Data'!G9</f>
        <v>40</v>
      </c>
      <c r="H17" s="14" t="n">
        <f aca="false">INDEX($C$3:$C$7,MATCH($B17,$A$3:$A$7,0))</f>
        <v>1.88079360815125</v>
      </c>
      <c r="I17" s="7" t="n">
        <f aca="false">INDEX($D$3:$D$7,MATCH($B17,$A$3:$A$7,0))</f>
        <v>18</v>
      </c>
      <c r="J17" s="7" t="n">
        <f aca="false">INDEX($E$3:$E$7,MATCH($B17,$A$3:$A$7,0))</f>
        <v>30</v>
      </c>
      <c r="K17" s="7" t="n">
        <f aca="false">INDEX($F$3:$F$7,MATCH($B17,$A$3:$A$7,0))</f>
        <v>16</v>
      </c>
      <c r="L17" s="13" t="n">
        <f aca="false">H17*F17*SQRT(I17/30)</f>
        <v>61.3071578844336</v>
      </c>
      <c r="M17" s="13" t="n">
        <f aca="false">L17/D17</f>
        <v>7.60529870378915</v>
      </c>
      <c r="N17" s="25" t="n">
        <f aca="false">M17+J17/2+K17</f>
        <v>38.6052987037891</v>
      </c>
      <c r="O17" s="13" t="n">
        <f aca="false">N17*D17</f>
        <v>311.201602328878</v>
      </c>
      <c r="P17" s="13" t="n">
        <f aca="false">O17*G17/100</f>
        <v>124.480640931551</v>
      </c>
      <c r="Q17" s="7" t="n">
        <f aca="false">$K$3</f>
        <v>36</v>
      </c>
      <c r="R17" s="13" t="n">
        <f aca="false">Q17*D17*G17/100</f>
        <v>116.08</v>
      </c>
      <c r="S17" s="26" t="n">
        <f aca="false">R17-P17</f>
        <v>-8.40064093155124</v>
      </c>
    </row>
    <row r="18" customFormat="false" ht="15" hidden="false" customHeight="false" outlineLevel="0" collapsed="false">
      <c r="A18" s="8" t="str">
        <f aca="false">Classification!B10</f>
        <v>Royale Aspira</v>
      </c>
      <c r="B18" s="16" t="str">
        <f aca="false">Classification!K10</f>
        <v>Growth</v>
      </c>
      <c r="C18" s="13" t="n">
        <f aca="false">Classification!E10</f>
        <v>234.333333333333</v>
      </c>
      <c r="D18" s="24" t="n">
        <f aca="false">C18/30</f>
        <v>7.81111111111111</v>
      </c>
      <c r="E18" s="14" t="n">
        <f aca="false">Classification!F10</f>
        <v>0.154319031268273</v>
      </c>
      <c r="F18" s="13" t="n">
        <f aca="false">E18*C18</f>
        <v>36.1620929938654</v>
      </c>
      <c r="G18" s="13" t="n">
        <f aca="false">'SKU Data'!G10</f>
        <v>300</v>
      </c>
      <c r="H18" s="14" t="n">
        <f aca="false">INDEX($C$3:$C$7,MATCH($B18,$A$3:$A$7,0))</f>
        <v>1.88079360815125</v>
      </c>
      <c r="I18" s="7" t="n">
        <f aca="false">INDEX($D$3:$D$7,MATCH($B18,$A$3:$A$7,0))</f>
        <v>18</v>
      </c>
      <c r="J18" s="7" t="n">
        <f aca="false">INDEX($E$3:$E$7,MATCH($B18,$A$3:$A$7,0))</f>
        <v>30</v>
      </c>
      <c r="K18" s="7" t="n">
        <f aca="false">INDEX($F$3:$F$7,MATCH($B18,$A$3:$A$7,0))</f>
        <v>16</v>
      </c>
      <c r="L18" s="13" t="n">
        <f aca="false">H18*F18*SQRT(I18/30)</f>
        <v>52.6829789445142</v>
      </c>
      <c r="M18" s="13" t="n">
        <f aca="false">L18/D18</f>
        <v>6.74462034851533</v>
      </c>
      <c r="N18" s="25" t="n">
        <f aca="false">M18+J18/2+K18</f>
        <v>37.7446203485153</v>
      </c>
      <c r="O18" s="13" t="n">
        <f aca="false">N18*D18</f>
        <v>294.827423388959</v>
      </c>
      <c r="P18" s="13" t="n">
        <f aca="false">O18*G18/100</f>
        <v>884.482270166876</v>
      </c>
      <c r="Q18" s="7" t="n">
        <f aca="false">$K$3</f>
        <v>36</v>
      </c>
      <c r="R18" s="13" t="n">
        <f aca="false">Q18*D18*G18/100</f>
        <v>843.6</v>
      </c>
      <c r="S18" s="26" t="n">
        <f aca="false">R18-P18</f>
        <v>-40.8822701668759</v>
      </c>
    </row>
    <row r="19" customFormat="false" ht="15" hidden="false" customHeight="false" outlineLevel="0" collapsed="false">
      <c r="A19" s="8" t="str">
        <f aca="false">Classification!B11</f>
        <v>Apcolite Premium Emulsion</v>
      </c>
      <c r="B19" s="16" t="str">
        <f aca="false">Classification!K11</f>
        <v>Maturity</v>
      </c>
      <c r="C19" s="13" t="n">
        <f aca="false">Classification!E11</f>
        <v>572.333333333333</v>
      </c>
      <c r="D19" s="24" t="n">
        <f aca="false">C19/30</f>
        <v>19.0777777777778</v>
      </c>
      <c r="E19" s="14" t="n">
        <f aca="false">Classification!F11</f>
        <v>0.0505482153149589</v>
      </c>
      <c r="F19" s="13" t="n">
        <f aca="false">E19*C19</f>
        <v>28.9304285652615</v>
      </c>
      <c r="G19" s="13" t="n">
        <f aca="false">'SKU Data'!G11</f>
        <v>200</v>
      </c>
      <c r="H19" s="14" t="n">
        <f aca="false">INDEX($C$3:$C$7,MATCH($B19,$A$3:$A$7,0))</f>
        <v>1.75068607125217</v>
      </c>
      <c r="I19" s="7" t="n">
        <f aca="false">INDEX($D$3:$D$7,MATCH($B19,$A$3:$A$7,0))</f>
        <v>14</v>
      </c>
      <c r="J19" s="7" t="n">
        <f aca="false">INDEX($E$3:$E$7,MATCH($B19,$A$3:$A$7,0))</f>
        <v>28</v>
      </c>
      <c r="K19" s="7" t="n">
        <f aca="false">INDEX($F$3:$F$7,MATCH($B19,$A$3:$A$7,0))</f>
        <v>8</v>
      </c>
      <c r="L19" s="13" t="n">
        <f aca="false">H19*F19*SQRT(I19/30)</f>
        <v>34.5992379947492</v>
      </c>
      <c r="M19" s="13" t="n">
        <f aca="false">L19/D19</f>
        <v>1.81358847963158</v>
      </c>
      <c r="N19" s="25" t="n">
        <f aca="false">M19+J19/2+K19</f>
        <v>23.8135884796316</v>
      </c>
      <c r="O19" s="13" t="n">
        <f aca="false">N19*D19</f>
        <v>454.31034910586</v>
      </c>
      <c r="P19" s="13" t="n">
        <f aca="false">O19*G19/100</f>
        <v>908.620698211721</v>
      </c>
      <c r="Q19" s="7" t="n">
        <f aca="false">$K$3</f>
        <v>36</v>
      </c>
      <c r="R19" s="13" t="n">
        <f aca="false">Q19*D19*G19/100</f>
        <v>1373.6</v>
      </c>
      <c r="S19" s="26" t="n">
        <f aca="false">R19-P19</f>
        <v>464.979301788279</v>
      </c>
    </row>
    <row r="20" customFormat="false" ht="15" hidden="false" customHeight="false" outlineLevel="0" collapsed="false">
      <c r="A20" s="8" t="str">
        <f aca="false">Classification!B12</f>
        <v>Tractor Emulsion Sparc</v>
      </c>
      <c r="B20" s="16" t="str">
        <f aca="false">Classification!K12</f>
        <v>Maturity</v>
      </c>
      <c r="C20" s="13" t="n">
        <f aca="false">Classification!E12</f>
        <v>860.666666666667</v>
      </c>
      <c r="D20" s="24" t="n">
        <f aca="false">C20/30</f>
        <v>28.6888888888889</v>
      </c>
      <c r="E20" s="14" t="n">
        <f aca="false">Classification!F12</f>
        <v>0.0394928675420683</v>
      </c>
      <c r="F20" s="13" t="n">
        <f aca="false">E20*C20</f>
        <v>33.9901946645401</v>
      </c>
      <c r="G20" s="13" t="n">
        <f aca="false">'SKU Data'!G12</f>
        <v>110</v>
      </c>
      <c r="H20" s="14" t="n">
        <f aca="false">INDEX($C$3:$C$7,MATCH($B20,$A$3:$A$7,0))</f>
        <v>1.75068607125217</v>
      </c>
      <c r="I20" s="7" t="n">
        <f aca="false">INDEX($D$3:$D$7,MATCH($B20,$A$3:$A$7,0))</f>
        <v>14</v>
      </c>
      <c r="J20" s="7" t="n">
        <f aca="false">INDEX($E$3:$E$7,MATCH($B20,$A$3:$A$7,0))</f>
        <v>28</v>
      </c>
      <c r="K20" s="7" t="n">
        <f aca="false">INDEX($F$3:$F$7,MATCH($B20,$A$3:$A$7,0))</f>
        <v>8</v>
      </c>
      <c r="L20" s="13" t="n">
        <f aca="false">H20*F20*SQRT(I20/30)</f>
        <v>40.6504463642276</v>
      </c>
      <c r="M20" s="13" t="n">
        <f aca="false">L20/D20</f>
        <v>1.41694042323024</v>
      </c>
      <c r="N20" s="25" t="n">
        <f aca="false">M20+J20/2+K20</f>
        <v>23.4169404232302</v>
      </c>
      <c r="O20" s="13" t="n">
        <f aca="false">N20*D20</f>
        <v>671.806001919783</v>
      </c>
      <c r="P20" s="13" t="n">
        <f aca="false">O20*G20/100</f>
        <v>738.986602111762</v>
      </c>
      <c r="Q20" s="7" t="n">
        <f aca="false">$K$3</f>
        <v>36</v>
      </c>
      <c r="R20" s="13" t="n">
        <f aca="false">Q20*D20*G20/100</f>
        <v>1136.08</v>
      </c>
      <c r="S20" s="26" t="n">
        <f aca="false">R20-P20</f>
        <v>397.093397888238</v>
      </c>
    </row>
    <row r="21" customFormat="false" ht="15" hidden="false" customHeight="false" outlineLevel="0" collapsed="false">
      <c r="A21" s="8" t="str">
        <f aca="false">Classification!B13</f>
        <v>Apex Ultima Exterior</v>
      </c>
      <c r="B21" s="16" t="str">
        <f aca="false">Classification!K13</f>
        <v>Maturity</v>
      </c>
      <c r="C21" s="13" t="n">
        <f aca="false">Classification!E13</f>
        <v>834.416666666667</v>
      </c>
      <c r="D21" s="24" t="n">
        <f aca="false">C21/30</f>
        <v>27.8138888888889</v>
      </c>
      <c r="E21" s="14" t="n">
        <f aca="false">Classification!F13</f>
        <v>0.0507979524242085</v>
      </c>
      <c r="F21" s="13" t="n">
        <f aca="false">E21*C21</f>
        <v>42.3866581352999</v>
      </c>
      <c r="G21" s="13" t="n">
        <f aca="false">'SKU Data'!G13</f>
        <v>280</v>
      </c>
      <c r="H21" s="14" t="n">
        <f aca="false">INDEX($C$3:$C$7,MATCH($B21,$A$3:$A$7,0))</f>
        <v>1.75068607125217</v>
      </c>
      <c r="I21" s="7" t="n">
        <f aca="false">INDEX($D$3:$D$7,MATCH($B21,$A$3:$A$7,0))</f>
        <v>14</v>
      </c>
      <c r="J21" s="7" t="n">
        <f aca="false">INDEX($E$3:$E$7,MATCH($B21,$A$3:$A$7,0))</f>
        <v>28</v>
      </c>
      <c r="K21" s="7" t="n">
        <f aca="false">INDEX($F$3:$F$7,MATCH($B21,$A$3:$A$7,0))</f>
        <v>8</v>
      </c>
      <c r="L21" s="13" t="n">
        <f aca="false">H21*F21*SQRT(I21/30)</f>
        <v>50.6921654934033</v>
      </c>
      <c r="M21" s="13" t="n">
        <f aca="false">L21/D21</f>
        <v>1.82254864452464</v>
      </c>
      <c r="N21" s="25" t="n">
        <f aca="false">M21+J21/2+K21</f>
        <v>23.8225486445246</v>
      </c>
      <c r="O21" s="13" t="n">
        <f aca="false">N21*D21</f>
        <v>662.597721048959</v>
      </c>
      <c r="P21" s="13" t="n">
        <f aca="false">O21*G21/100</f>
        <v>1855.27361893708</v>
      </c>
      <c r="Q21" s="7" t="n">
        <f aca="false">$K$3</f>
        <v>36</v>
      </c>
      <c r="R21" s="13" t="n">
        <f aca="false">Q21*D21*G21/100</f>
        <v>2803.64</v>
      </c>
      <c r="S21" s="26" t="n">
        <f aca="false">R21-P21</f>
        <v>948.366381062916</v>
      </c>
    </row>
    <row r="22" customFormat="false" ht="15" hidden="false" customHeight="false" outlineLevel="0" collapsed="false">
      <c r="A22" s="8" t="str">
        <f aca="false">Classification!B14</f>
        <v>Ace Exterior Emulsion</v>
      </c>
      <c r="B22" s="16" t="str">
        <f aca="false">Classification!K14</f>
        <v>Maturity</v>
      </c>
      <c r="C22" s="13" t="n">
        <f aca="false">Classification!E14</f>
        <v>753.583333333333</v>
      </c>
      <c r="D22" s="24" t="n">
        <f aca="false">C22/30</f>
        <v>25.1194444444444</v>
      </c>
      <c r="E22" s="14" t="n">
        <f aca="false">Classification!F14</f>
        <v>0.0691715423923819</v>
      </c>
      <c r="F22" s="13" t="n">
        <f aca="false">E22*C22</f>
        <v>52.1265214878592</v>
      </c>
      <c r="G22" s="13" t="n">
        <f aca="false">'SKU Data'!G14</f>
        <v>150</v>
      </c>
      <c r="H22" s="14" t="n">
        <f aca="false">INDEX($C$3:$C$7,MATCH($B22,$A$3:$A$7,0))</f>
        <v>1.75068607125217</v>
      </c>
      <c r="I22" s="7" t="n">
        <f aca="false">INDEX($D$3:$D$7,MATCH($B22,$A$3:$A$7,0))</f>
        <v>14</v>
      </c>
      <c r="J22" s="7" t="n">
        <f aca="false">INDEX($E$3:$E$7,MATCH($B22,$A$3:$A$7,0))</f>
        <v>28</v>
      </c>
      <c r="K22" s="7" t="n">
        <f aca="false">INDEX($F$3:$F$7,MATCH($B22,$A$3:$A$7,0))</f>
        <v>8</v>
      </c>
      <c r="L22" s="13" t="n">
        <f aca="false">H22*F22*SQRT(I22/30)</f>
        <v>62.3405186939562</v>
      </c>
      <c r="M22" s="13" t="n">
        <f aca="false">L22/D22</f>
        <v>2.48176343357561</v>
      </c>
      <c r="N22" s="25" t="n">
        <f aca="false">M22+J22/2+K22</f>
        <v>24.4817634335756</v>
      </c>
      <c r="O22" s="13" t="n">
        <f aca="false">N22*D22</f>
        <v>614.968296471734</v>
      </c>
      <c r="P22" s="13" t="n">
        <f aca="false">O22*G22/100</f>
        <v>922.452444707601</v>
      </c>
      <c r="Q22" s="7" t="n">
        <f aca="false">$K$3</f>
        <v>36</v>
      </c>
      <c r="R22" s="13" t="n">
        <f aca="false">Q22*D22*G22/100</f>
        <v>1356.45</v>
      </c>
      <c r="S22" s="26" t="n">
        <f aca="false">R22-P22</f>
        <v>433.997555292399</v>
      </c>
    </row>
    <row r="23" customFormat="false" ht="15" hidden="false" customHeight="false" outlineLevel="0" collapsed="false">
      <c r="A23" s="8" t="str">
        <f aca="false">Classification!B15</f>
        <v>Royale Luxury Emulsion</v>
      </c>
      <c r="B23" s="16" t="str">
        <f aca="false">Classification!K15</f>
        <v>Maturity</v>
      </c>
      <c r="C23" s="13" t="n">
        <f aca="false">Classification!E15</f>
        <v>501.666666666667</v>
      </c>
      <c r="D23" s="24" t="n">
        <f aca="false">C23/30</f>
        <v>16.7222222222222</v>
      </c>
      <c r="E23" s="14" t="n">
        <f aca="false">Classification!F15</f>
        <v>0.0559776690258428</v>
      </c>
      <c r="F23" s="13" t="n">
        <f aca="false">E23*C23</f>
        <v>28.0821306279645</v>
      </c>
      <c r="G23" s="13" t="n">
        <f aca="false">'SKU Data'!G15</f>
        <v>330</v>
      </c>
      <c r="H23" s="14" t="n">
        <f aca="false">INDEX($C$3:$C$7,MATCH($B23,$A$3:$A$7,0))</f>
        <v>1.75068607125217</v>
      </c>
      <c r="I23" s="7" t="n">
        <f aca="false">INDEX($D$3:$D$7,MATCH($B23,$A$3:$A$7,0))</f>
        <v>14</v>
      </c>
      <c r="J23" s="7" t="n">
        <f aca="false">INDEX($E$3:$E$7,MATCH($B23,$A$3:$A$7,0))</f>
        <v>28</v>
      </c>
      <c r="K23" s="7" t="n">
        <f aca="false">INDEX($F$3:$F$7,MATCH($B23,$A$3:$A$7,0))</f>
        <v>8</v>
      </c>
      <c r="L23" s="13" t="n">
        <f aca="false">H23*F23*SQRT(I23/30)</f>
        <v>33.5847192448184</v>
      </c>
      <c r="M23" s="13" t="n">
        <f aca="false">L23/D23</f>
        <v>2.00838852626821</v>
      </c>
      <c r="N23" s="25" t="n">
        <f aca="false">M23+J23/2+K23</f>
        <v>24.0083885262682</v>
      </c>
      <c r="O23" s="13" t="n">
        <f aca="false">N23*D23</f>
        <v>401.473608133707</v>
      </c>
      <c r="P23" s="13" t="n">
        <f aca="false">O23*G23/100</f>
        <v>1324.86290684123</v>
      </c>
      <c r="Q23" s="7" t="n">
        <f aca="false">$K$3</f>
        <v>36</v>
      </c>
      <c r="R23" s="13" t="n">
        <f aca="false">Q23*D23*G23/100</f>
        <v>1986.6</v>
      </c>
      <c r="S23" s="26" t="n">
        <f aca="false">R23-P23</f>
        <v>661.737093158766</v>
      </c>
    </row>
    <row r="24" customFormat="false" ht="15" hidden="false" customHeight="false" outlineLevel="0" collapsed="false">
      <c r="A24" s="8" t="str">
        <f aca="false">Classification!B16</f>
        <v>Utsav Distemper</v>
      </c>
      <c r="B24" s="16" t="str">
        <f aca="false">Classification!K16</f>
        <v>Decline</v>
      </c>
      <c r="C24" s="13" t="n">
        <f aca="false">Classification!E16</f>
        <v>182</v>
      </c>
      <c r="D24" s="24" t="n">
        <f aca="false">C24/30</f>
        <v>6.06666666666667</v>
      </c>
      <c r="E24" s="14" t="n">
        <f aca="false">Classification!F16</f>
        <v>0.156077721438666</v>
      </c>
      <c r="F24" s="13" t="n">
        <f aca="false">E24*C24</f>
        <v>28.4061453018373</v>
      </c>
      <c r="G24" s="13" t="n">
        <f aca="false">'SKU Data'!G16</f>
        <v>70</v>
      </c>
      <c r="H24" s="14" t="n">
        <f aca="false">INDEX($C$3:$C$7,MATCH($B24,$A$3:$A$7,0))</f>
        <v>1.40507156030963</v>
      </c>
      <c r="I24" s="7" t="n">
        <f aca="false">INDEX($D$3:$D$7,MATCH($B24,$A$3:$A$7,0))</f>
        <v>18</v>
      </c>
      <c r="J24" s="7" t="n">
        <f aca="false">INDEX($E$3:$E$7,MATCH($B24,$A$3:$A$7,0))</f>
        <v>12</v>
      </c>
      <c r="K24" s="7" t="n">
        <f aca="false">INDEX($F$3:$F$7,MATCH($B24,$A$3:$A$7,0))</f>
        <v>4</v>
      </c>
      <c r="L24" s="13" t="n">
        <f aca="false">H24*F24*SQRT(I24/30)</f>
        <v>30.916218842551</v>
      </c>
      <c r="M24" s="13" t="n">
        <f aca="false">L24/D24</f>
        <v>5.09608002899192</v>
      </c>
      <c r="N24" s="25" t="n">
        <f aca="false">M24+J24/2+K24</f>
        <v>15.0960800289919</v>
      </c>
      <c r="O24" s="13" t="n">
        <f aca="false">N24*D24</f>
        <v>91.5828855092176</v>
      </c>
      <c r="P24" s="13" t="n">
        <f aca="false">O24*G24/100</f>
        <v>64.1080198564523</v>
      </c>
      <c r="Q24" s="7" t="n">
        <f aca="false">$K$3</f>
        <v>36</v>
      </c>
      <c r="R24" s="13" t="n">
        <f aca="false">Q24*D24*G24/100</f>
        <v>152.88</v>
      </c>
      <c r="S24" s="26" t="n">
        <f aca="false">R24-P24</f>
        <v>88.7719801435477</v>
      </c>
    </row>
    <row r="25" customFormat="false" ht="15" hidden="false" customHeight="false" outlineLevel="0" collapsed="false">
      <c r="A25" s="8" t="str">
        <f aca="false">Classification!B17</f>
        <v>Apex (legacy exterior)</v>
      </c>
      <c r="B25" s="16" t="str">
        <f aca="false">Classification!K17</f>
        <v>Decline</v>
      </c>
      <c r="C25" s="13" t="n">
        <f aca="false">Classification!E17</f>
        <v>185.083333333333</v>
      </c>
      <c r="D25" s="24" t="n">
        <f aca="false">C25/30</f>
        <v>6.16944444444445</v>
      </c>
      <c r="E25" s="14" t="n">
        <f aca="false">Classification!F17</f>
        <v>0.169021394704072</v>
      </c>
      <c r="F25" s="13" t="n">
        <f aca="false">E25*C25</f>
        <v>31.2830431364787</v>
      </c>
      <c r="G25" s="13" t="n">
        <f aca="false">'SKU Data'!G17</f>
        <v>160</v>
      </c>
      <c r="H25" s="14" t="n">
        <f aca="false">INDEX($C$3:$C$7,MATCH($B25,$A$3:$A$7,0))</f>
        <v>1.40507156030963</v>
      </c>
      <c r="I25" s="7" t="n">
        <f aca="false">INDEX($D$3:$D$7,MATCH($B25,$A$3:$A$7,0))</f>
        <v>18</v>
      </c>
      <c r="J25" s="7" t="n">
        <f aca="false">INDEX($E$3:$E$7,MATCH($B25,$A$3:$A$7,0))</f>
        <v>12</v>
      </c>
      <c r="K25" s="7" t="n">
        <f aca="false">INDEX($F$3:$F$7,MATCH($B25,$A$3:$A$7,0))</f>
        <v>4</v>
      </c>
      <c r="L25" s="13" t="n">
        <f aca="false">H25*F25*SQRT(I25/30)</f>
        <v>34.0473301601321</v>
      </c>
      <c r="M25" s="13" t="n">
        <f aca="false">L25/D25</f>
        <v>5.51870277246625</v>
      </c>
      <c r="N25" s="25" t="n">
        <f aca="false">M25+J25/2+K25</f>
        <v>15.5187027724663</v>
      </c>
      <c r="O25" s="13" t="n">
        <f aca="false">N25*D25</f>
        <v>95.7417746045765</v>
      </c>
      <c r="P25" s="13" t="n">
        <f aca="false">O25*G25/100</f>
        <v>153.186839367322</v>
      </c>
      <c r="Q25" s="7" t="n">
        <f aca="false">$K$3</f>
        <v>36</v>
      </c>
      <c r="R25" s="13" t="n">
        <f aca="false">Q25*D25*G25/100</f>
        <v>355.36</v>
      </c>
      <c r="S25" s="26" t="n">
        <f aca="false">R25-P25</f>
        <v>202.173160632678</v>
      </c>
    </row>
    <row r="26" customFormat="false" ht="15" hidden="false" customHeight="false" outlineLevel="0" collapsed="false">
      <c r="A26" s="8" t="str">
        <f aca="false">Classification!B18</f>
        <v>Apcolite Synthetic Enamel</v>
      </c>
      <c r="B26" s="16" t="str">
        <f aca="false">Classification!K18</f>
        <v>Decline</v>
      </c>
      <c r="C26" s="13" t="n">
        <f aca="false">Classification!E18</f>
        <v>183.583333333333</v>
      </c>
      <c r="D26" s="24" t="n">
        <f aca="false">C26/30</f>
        <v>6.11944444444444</v>
      </c>
      <c r="E26" s="14" t="n">
        <f aca="false">Classification!F18</f>
        <v>0.277248587684591</v>
      </c>
      <c r="F26" s="13" t="n">
        <f aca="false">E26*C26</f>
        <v>50.8982198890962</v>
      </c>
      <c r="G26" s="13" t="n">
        <f aca="false">'SKU Data'!G18</f>
        <v>190</v>
      </c>
      <c r="H26" s="14" t="n">
        <f aca="false">INDEX($C$3:$C$7,MATCH($B26,$A$3:$A$7,0))</f>
        <v>1.40507156030963</v>
      </c>
      <c r="I26" s="7" t="n">
        <f aca="false">INDEX($D$3:$D$7,MATCH($B26,$A$3:$A$7,0))</f>
        <v>18</v>
      </c>
      <c r="J26" s="7" t="n">
        <f aca="false">INDEX($E$3:$E$7,MATCH($B26,$A$3:$A$7,0))</f>
        <v>12</v>
      </c>
      <c r="K26" s="7" t="n">
        <f aca="false">INDEX($F$3:$F$7,MATCH($B26,$A$3:$A$7,0))</f>
        <v>4</v>
      </c>
      <c r="L26" s="13" t="n">
        <f aca="false">H26*F26*SQRT(I26/30)</f>
        <v>55.3957775005045</v>
      </c>
      <c r="M26" s="13" t="n">
        <f aca="false">L26/D26</f>
        <v>9.05241938274245</v>
      </c>
      <c r="N26" s="25" t="n">
        <f aca="false">M26+J26/2+K26</f>
        <v>19.0524193827425</v>
      </c>
      <c r="O26" s="13" t="n">
        <f aca="false">N26*D26</f>
        <v>116.590221944949</v>
      </c>
      <c r="P26" s="13" t="n">
        <f aca="false">O26*G26/100</f>
        <v>221.521421695403</v>
      </c>
      <c r="Q26" s="7" t="n">
        <f aca="false">$K$3</f>
        <v>36</v>
      </c>
      <c r="R26" s="13" t="n">
        <f aca="false">Q26*D26*G26/100</f>
        <v>418.57</v>
      </c>
      <c r="S26" s="26" t="n">
        <f aca="false">R26-P26</f>
        <v>197.048578304597</v>
      </c>
    </row>
    <row r="27" customFormat="false" ht="15" hidden="false" customHeight="false" outlineLevel="0" collapsed="false">
      <c r="A27" s="8" t="str">
        <f aca="false">Classification!B19</f>
        <v>Woodtech Melamine (older)</v>
      </c>
      <c r="B27" s="16" t="str">
        <f aca="false">Classification!K19</f>
        <v>Decline</v>
      </c>
      <c r="C27" s="13" t="n">
        <f aca="false">Classification!E19</f>
        <v>189</v>
      </c>
      <c r="D27" s="24" t="n">
        <f aca="false">C27/30</f>
        <v>6.3</v>
      </c>
      <c r="E27" s="14" t="n">
        <f aca="false">Classification!F19</f>
        <v>0.197417739429588</v>
      </c>
      <c r="F27" s="13" t="n">
        <f aca="false">E27*C27</f>
        <v>37.3119527521921</v>
      </c>
      <c r="G27" s="13" t="n">
        <f aca="false">'SKU Data'!G19</f>
        <v>260</v>
      </c>
      <c r="H27" s="14" t="n">
        <f aca="false">INDEX($C$3:$C$7,MATCH($B27,$A$3:$A$7,0))</f>
        <v>1.40507156030963</v>
      </c>
      <c r="I27" s="7" t="n">
        <f aca="false">INDEX($D$3:$D$7,MATCH($B27,$A$3:$A$7,0))</f>
        <v>18</v>
      </c>
      <c r="J27" s="7" t="n">
        <f aca="false">INDEX($E$3:$E$7,MATCH($B27,$A$3:$A$7,0))</f>
        <v>12</v>
      </c>
      <c r="K27" s="7" t="n">
        <f aca="false">INDEX($F$3:$F$7,MATCH($B27,$A$3:$A$7,0))</f>
        <v>4</v>
      </c>
      <c r="L27" s="13" t="n">
        <f aca="false">H27*F27*SQRT(I27/30)</f>
        <v>40.6089768418908</v>
      </c>
      <c r="M27" s="13" t="n">
        <f aca="false">L27/D27</f>
        <v>6.44586933998266</v>
      </c>
      <c r="N27" s="25" t="n">
        <f aca="false">M27+J27/2+K27</f>
        <v>16.4458693399827</v>
      </c>
      <c r="O27" s="13" t="n">
        <f aca="false">N27*D27</f>
        <v>103.608976841891</v>
      </c>
      <c r="P27" s="13" t="n">
        <f aca="false">O27*G27/100</f>
        <v>269.383339788916</v>
      </c>
      <c r="Q27" s="7" t="n">
        <f aca="false">$K$3</f>
        <v>36</v>
      </c>
      <c r="R27" s="13" t="n">
        <f aca="false">Q27*D27*G27/100</f>
        <v>589.68</v>
      </c>
      <c r="S27" s="26" t="n">
        <f aca="false">R27-P27</f>
        <v>320.296660211084</v>
      </c>
    </row>
    <row r="28" customFormat="false" ht="15" hidden="false" customHeight="false" outlineLevel="0" collapsed="false">
      <c r="A28" s="8" t="str">
        <f aca="false">Classification!B20</f>
        <v>Discontinued Shade Family R</v>
      </c>
      <c r="B28" s="16" t="str">
        <f aca="false">Classification!K20</f>
        <v>Exit</v>
      </c>
      <c r="C28" s="13" t="n">
        <f aca="false">Classification!E20</f>
        <v>42.5833333333333</v>
      </c>
      <c r="D28" s="24" t="n">
        <f aca="false">C28/30</f>
        <v>1.41944444444444</v>
      </c>
      <c r="E28" s="14" t="n">
        <f aca="false">Classification!F20</f>
        <v>0.25792047970152</v>
      </c>
      <c r="F28" s="13" t="n">
        <f aca="false">E28*C28</f>
        <v>10.9831137606231</v>
      </c>
      <c r="G28" s="13" t="n">
        <f aca="false">'SKU Data'!G20</f>
        <v>180</v>
      </c>
      <c r="H28" s="14" t="n">
        <f aca="false">INDEX($C$3:$C$7,MATCH($B28,$A$3:$A$7,0))</f>
        <v>1.03643338949379</v>
      </c>
      <c r="I28" s="7" t="n">
        <f aca="false">INDEX($D$3:$D$7,MATCH($B28,$A$3:$A$7,0))</f>
        <v>21</v>
      </c>
      <c r="J28" s="7" t="n">
        <f aca="false">INDEX($E$3:$E$7,MATCH($B28,$A$3:$A$7,0))</f>
        <v>6</v>
      </c>
      <c r="K28" s="7" t="n">
        <f aca="false">INDEX($F$3:$F$7,MATCH($B28,$A$3:$A$7,0))</f>
        <v>1</v>
      </c>
      <c r="L28" s="13" t="n">
        <f aca="false">H28*F28*SQRT(I28/30)</f>
        <v>9.52392348477806</v>
      </c>
      <c r="M28" s="13" t="n">
        <f aca="false">L28/D28</f>
        <v>6.70961341393366</v>
      </c>
      <c r="N28" s="25" t="n">
        <f aca="false">M28+J28/2+K28</f>
        <v>10.7096134139337</v>
      </c>
      <c r="O28" s="13" t="n">
        <f aca="false">N28*D28</f>
        <v>15.2017012625558</v>
      </c>
      <c r="P28" s="13" t="n">
        <f aca="false">O28*G28/100</f>
        <v>27.3630622726005</v>
      </c>
      <c r="Q28" s="7" t="n">
        <f aca="false">$K$3</f>
        <v>36</v>
      </c>
      <c r="R28" s="13" t="n">
        <f aca="false">Q28*D28*G28/100</f>
        <v>91.98</v>
      </c>
      <c r="S28" s="26" t="n">
        <f aca="false">R28-P28</f>
        <v>64.6169377273995</v>
      </c>
    </row>
    <row r="29" customFormat="false" ht="15" hidden="false" customHeight="false" outlineLevel="0" collapsed="false">
      <c r="A29" s="8" t="str">
        <f aca="false">Classification!B21</f>
        <v>Solvent Primer (legacy)</v>
      </c>
      <c r="B29" s="16" t="str">
        <f aca="false">Classification!K21</f>
        <v>Exit</v>
      </c>
      <c r="C29" s="13" t="n">
        <f aca="false">Classification!E21</f>
        <v>46</v>
      </c>
      <c r="D29" s="24" t="n">
        <f aca="false">C29/30</f>
        <v>1.53333333333333</v>
      </c>
      <c r="E29" s="14" t="n">
        <f aca="false">Classification!F21</f>
        <v>0.270570610120551</v>
      </c>
      <c r="F29" s="13" t="n">
        <f aca="false">E29*C29</f>
        <v>12.4462480655453</v>
      </c>
      <c r="G29" s="13" t="n">
        <f aca="false">'SKU Data'!G21</f>
        <v>120</v>
      </c>
      <c r="H29" s="14" t="n">
        <f aca="false">INDEX($C$3:$C$7,MATCH($B29,$A$3:$A$7,0))</f>
        <v>1.03643338949379</v>
      </c>
      <c r="I29" s="7" t="n">
        <f aca="false">INDEX($D$3:$D$7,MATCH($B29,$A$3:$A$7,0))</f>
        <v>21</v>
      </c>
      <c r="J29" s="7" t="n">
        <f aca="false">INDEX($E$3:$E$7,MATCH($B29,$A$3:$A$7,0))</f>
        <v>6</v>
      </c>
      <c r="K29" s="7" t="n">
        <f aca="false">INDEX($F$3:$F$7,MATCH($B29,$A$3:$A$7,0))</f>
        <v>1</v>
      </c>
      <c r="L29" s="13" t="n">
        <f aca="false">H29*F29*SQRT(I29/30)</f>
        <v>10.7926692586762</v>
      </c>
      <c r="M29" s="13" t="n">
        <f aca="false">L29/D29</f>
        <v>7.03869734261494</v>
      </c>
      <c r="N29" s="25" t="n">
        <f aca="false">M29+J29/2+K29</f>
        <v>11.0386973426149</v>
      </c>
      <c r="O29" s="13" t="n">
        <f aca="false">N29*D29</f>
        <v>16.9260025920096</v>
      </c>
      <c r="P29" s="13" t="n">
        <f aca="false">O29*G29/100</f>
        <v>20.3112031104115</v>
      </c>
      <c r="Q29" s="7" t="n">
        <f aca="false">$K$3</f>
        <v>36</v>
      </c>
      <c r="R29" s="13" t="n">
        <f aca="false">Q29*D29*G29/100</f>
        <v>66.24</v>
      </c>
      <c r="S29" s="26" t="n">
        <f aca="false">R29-P29</f>
        <v>45.9287968895885</v>
      </c>
    </row>
    <row r="30" customFormat="false" ht="15" hidden="false" customHeight="false" outlineLevel="0" collapsed="false">
      <c r="A30" s="8" t="str">
        <f aca="false">Classification!B22</f>
        <v>Regional Distemper (legacy)</v>
      </c>
      <c r="B30" s="16" t="str">
        <f aca="false">Classification!K22</f>
        <v>Exit</v>
      </c>
      <c r="C30" s="13" t="n">
        <f aca="false">Classification!E22</f>
        <v>46.3333333333333</v>
      </c>
      <c r="D30" s="24" t="n">
        <f aca="false">C30/30</f>
        <v>1.54444444444444</v>
      </c>
      <c r="E30" s="14" t="n">
        <f aca="false">Classification!F22</f>
        <v>0.25242377765627</v>
      </c>
      <c r="F30" s="13" t="n">
        <f aca="false">E30*C30</f>
        <v>11.6956350314072</v>
      </c>
      <c r="G30" s="13" t="n">
        <f aca="false">'SKU Data'!G22</f>
        <v>60</v>
      </c>
      <c r="H30" s="14" t="n">
        <f aca="false">INDEX($C$3:$C$7,MATCH($B30,$A$3:$A$7,0))</f>
        <v>1.03643338949379</v>
      </c>
      <c r="I30" s="7" t="n">
        <f aca="false">INDEX($D$3:$D$7,MATCH($B30,$A$3:$A$7,0))</f>
        <v>21</v>
      </c>
      <c r="J30" s="7" t="n">
        <f aca="false">INDEX($E$3:$E$7,MATCH($B30,$A$3:$A$7,0))</f>
        <v>6</v>
      </c>
      <c r="K30" s="7" t="n">
        <f aca="false">INDEX($F$3:$F$7,MATCH($B30,$A$3:$A$7,0))</f>
        <v>1</v>
      </c>
      <c r="L30" s="13" t="n">
        <f aca="false">H30*F30*SQRT(I30/30)</f>
        <v>10.1417808804243</v>
      </c>
      <c r="M30" s="13" t="n">
        <f aca="false">L30/D30</f>
        <v>6.56662071394377</v>
      </c>
      <c r="N30" s="25" t="n">
        <f aca="false">M30+J30/2+K30</f>
        <v>10.5666207139438</v>
      </c>
      <c r="O30" s="13" t="n">
        <f aca="false">N30*D30</f>
        <v>16.319558658202</v>
      </c>
      <c r="P30" s="13" t="n">
        <f aca="false">O30*G30/100</f>
        <v>9.79173519492123</v>
      </c>
      <c r="Q30" s="7" t="n">
        <f aca="false">$K$3</f>
        <v>36</v>
      </c>
      <c r="R30" s="13" t="n">
        <f aca="false">Q30*D30*G30/100</f>
        <v>33.36</v>
      </c>
      <c r="S30" s="26" t="n">
        <f aca="false">R30-P30</f>
        <v>23.5682648050788</v>
      </c>
    </row>
    <row r="31" customFormat="false" ht="15" hidden="false" customHeight="false" outlineLevel="0" collapsed="false">
      <c r="A31" s="27" t="s">
        <v>149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9" t="n">
        <f aca="false">SUM(P11:P30)</f>
        <v>10534.4255358511</v>
      </c>
      <c r="Q31" s="28"/>
      <c r="R31" s="29" t="n">
        <f aca="false">SUM(R11:R30)</f>
        <v>14189.94</v>
      </c>
      <c r="S31" s="30" t="n">
        <f aca="false">SUM(S11:S30)</f>
        <v>3655.51446414892</v>
      </c>
    </row>
  </sheetData>
  <mergeCells count="1">
    <mergeCell ref="J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8"/>
    <col collapsed="false" customWidth="true" hidden="false" outlineLevel="0" max="4" min="4" style="0" width="9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9" min="7" style="0" width="16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1" t="s">
        <v>150</v>
      </c>
    </row>
    <row r="2" customFormat="false" ht="23.85" hidden="false" customHeight="false" outlineLevel="0" collapsed="false">
      <c r="A2" s="6" t="s">
        <v>116</v>
      </c>
      <c r="B2" s="6" t="s">
        <v>151</v>
      </c>
      <c r="C2" s="6" t="s">
        <v>152</v>
      </c>
      <c r="D2" s="6" t="s">
        <v>117</v>
      </c>
      <c r="E2" s="6" t="s">
        <v>153</v>
      </c>
      <c r="F2" s="6" t="s">
        <v>154</v>
      </c>
      <c r="G2" s="6" t="s">
        <v>145</v>
      </c>
      <c r="H2" s="6" t="s">
        <v>147</v>
      </c>
      <c r="I2" s="6" t="s">
        <v>148</v>
      </c>
      <c r="J2" s="6" t="s">
        <v>155</v>
      </c>
    </row>
    <row r="3" customFormat="false" ht="15" hidden="false" customHeight="false" outlineLevel="0" collapsed="false">
      <c r="A3" s="20" t="s">
        <v>124</v>
      </c>
      <c r="B3" s="7" t="n">
        <f aca="false">COUNTIF(Classification!$K$3:$K$22,"Introduction")</f>
        <v>4</v>
      </c>
      <c r="C3" s="14" t="n">
        <f aca="false">IFERROR(AVERAGEIF(Classification!$K$3:$K$22,"Introduction",Classification!$F$3:$F$22),0)</f>
        <v>0.244383485572901</v>
      </c>
      <c r="D3" s="31" t="n">
        <f aca="false">INDEX('Policy &amp; Inventory'!$B$3:$B$7,MATCH(A3,'Policy &amp; Inventory'!$A$3:$A$7,0))</f>
        <v>0.98</v>
      </c>
      <c r="E3" s="13" t="n">
        <f aca="false">IFERROR(AVERAGEIF('Policy &amp; Inventory'!$B$11:$B$30,"Introduction",'Policy &amp; Inventory'!$N$11:$N$30),0)</f>
        <v>41.597648182583</v>
      </c>
      <c r="F3" s="13" t="n">
        <f aca="false">'Policy &amp; Inventory'!$K$3</f>
        <v>36</v>
      </c>
      <c r="G3" s="13" t="n">
        <f aca="false">SUMIF('Policy &amp; Inventory'!$B$11:$B$30,"Introduction",'Policy &amp; Inventory'!$P$11:$P$30)</f>
        <v>1952.0920831801</v>
      </c>
      <c r="H3" s="13" t="n">
        <f aca="false">SUMIF('Policy &amp; Inventory'!$B$11:$B$30,"Introduction",'Policy &amp; Inventory'!$R$11:$R$30)</f>
        <v>1719.16</v>
      </c>
      <c r="I3" s="26" t="n">
        <f aca="false">SUMIF('Policy &amp; Inventory'!$B$11:$B$30,"Introduction",'Policy &amp; Inventory'!$S$11:$S$30)</f>
        <v>-232.932083180098</v>
      </c>
      <c r="J3" s="8" t="s">
        <v>156</v>
      </c>
    </row>
    <row r="4" customFormat="false" ht="15" hidden="false" customHeight="false" outlineLevel="0" collapsed="false">
      <c r="A4" s="20" t="s">
        <v>127</v>
      </c>
      <c r="B4" s="7" t="n">
        <f aca="false">COUNTIF(Classification!$K$3:$K$22,"Growth")</f>
        <v>3</v>
      </c>
      <c r="C4" s="14" t="n">
        <f aca="false">IFERROR(AVERAGEIF(Classification!$K$3:$K$22,"Growth",Classification!$F$3:$F$22),0)</f>
        <v>0.164770148805768</v>
      </c>
      <c r="D4" s="31" t="n">
        <f aca="false">INDEX('Policy &amp; Inventory'!$B$3:$B$7,MATCH(A4,'Policy &amp; Inventory'!$A$3:$A$7,0))</f>
        <v>0.97</v>
      </c>
      <c r="E4" s="13" t="n">
        <f aca="false">IFERROR(AVERAGEIF('Policy &amp; Inventory'!$B$11:$B$30,"Growth",'Policy &amp; Inventory'!$N$11:$N$30),0)</f>
        <v>38.2013936928579</v>
      </c>
      <c r="F4" s="13" t="n">
        <f aca="false">'Policy &amp; Inventory'!$K$3</f>
        <v>36</v>
      </c>
      <c r="G4" s="13" t="n">
        <f aca="false">SUMIF('Policy &amp; Inventory'!$B$11:$B$30,"Growth",'Policy &amp; Inventory'!$P$11:$P$30)</f>
        <v>1673.31192828797</v>
      </c>
      <c r="H4" s="13" t="n">
        <f aca="false">SUMIF('Policy &amp; Inventory'!$B$11:$B$30,"Growth",'Policy &amp; Inventory'!$R$11:$R$30)</f>
        <v>1584.88</v>
      </c>
      <c r="I4" s="26" t="n">
        <f aca="false">SUMIF('Policy &amp; Inventory'!$B$11:$B$30,"Growth",'Policy &amp; Inventory'!$S$11:$S$30)</f>
        <v>-88.4319282879684</v>
      </c>
      <c r="J4" s="8" t="s">
        <v>157</v>
      </c>
    </row>
    <row r="5" customFormat="false" ht="15" hidden="false" customHeight="false" outlineLevel="0" collapsed="false">
      <c r="A5" s="20" t="s">
        <v>130</v>
      </c>
      <c r="B5" s="7" t="n">
        <f aca="false">COUNTIF(Classification!$K$3:$K$22,"Maturity")</f>
        <v>6</v>
      </c>
      <c r="C5" s="14" t="n">
        <f aca="false">IFERROR(AVERAGEIF(Classification!$K$3:$K$22,"Maturity",Classification!$F$3:$F$22),0)</f>
        <v>0.068220109782848</v>
      </c>
      <c r="D5" s="31" t="n">
        <f aca="false">INDEX('Policy &amp; Inventory'!$B$3:$B$7,MATCH(A5,'Policy &amp; Inventory'!$A$3:$A$7,0))</f>
        <v>0.96</v>
      </c>
      <c r="E5" s="13" t="n">
        <f aca="false">IFERROR(AVERAGEIF('Policy &amp; Inventory'!$B$11:$B$30,"Maturity",'Policy &amp; Inventory'!$N$11:$N$30),0)</f>
        <v>24.4476275652953</v>
      </c>
      <c r="F5" s="13" t="n">
        <f aca="false">'Policy &amp; Inventory'!$K$3</f>
        <v>36</v>
      </c>
      <c r="G5" s="13" t="n">
        <f aca="false">SUMIF('Policy &amp; Inventory'!$B$11:$B$30,"Maturity",'Policy &amp; Inventory'!$P$11:$P$30)</f>
        <v>6143.35590309699</v>
      </c>
      <c r="H5" s="13" t="n">
        <f aca="false">SUMIF('Policy &amp; Inventory'!$B$11:$B$30,"Maturity",'Policy &amp; Inventory'!$R$11:$R$30)</f>
        <v>9177.83</v>
      </c>
      <c r="I5" s="26" t="n">
        <f aca="false">SUMIF('Policy &amp; Inventory'!$B$11:$B$30,"Maturity",'Policy &amp; Inventory'!$S$11:$S$30)</f>
        <v>3034.47409690302</v>
      </c>
      <c r="J5" s="8" t="s">
        <v>158</v>
      </c>
    </row>
    <row r="6" customFormat="false" ht="15" hidden="false" customHeight="false" outlineLevel="0" collapsed="false">
      <c r="A6" s="20" t="s">
        <v>132</v>
      </c>
      <c r="B6" s="7" t="n">
        <f aca="false">COUNTIF(Classification!$K$3:$K$22,"Decline")</f>
        <v>4</v>
      </c>
      <c r="C6" s="14" t="n">
        <f aca="false">IFERROR(AVERAGEIF(Classification!$K$3:$K$22,"Decline",Classification!$F$3:$F$22),0)</f>
        <v>0.199941360814229</v>
      </c>
      <c r="D6" s="31" t="n">
        <f aca="false">INDEX('Policy &amp; Inventory'!$B$3:$B$7,MATCH(A6,'Policy &amp; Inventory'!$A$3:$A$7,0))</f>
        <v>0.92</v>
      </c>
      <c r="E6" s="13" t="n">
        <f aca="false">IFERROR(AVERAGEIF('Policy &amp; Inventory'!$B$11:$B$30,"Decline",'Policy &amp; Inventory'!$N$11:$N$30),0)</f>
        <v>16.5282678810458</v>
      </c>
      <c r="F6" s="13" t="n">
        <f aca="false">'Policy &amp; Inventory'!$K$3</f>
        <v>36</v>
      </c>
      <c r="G6" s="13" t="n">
        <f aca="false">SUMIF('Policy &amp; Inventory'!$B$11:$B$30,"Decline",'Policy &amp; Inventory'!$P$11:$P$30)</f>
        <v>708.199620708094</v>
      </c>
      <c r="H6" s="13" t="n">
        <f aca="false">SUMIF('Policy &amp; Inventory'!$B$11:$B$30,"Decline",'Policy &amp; Inventory'!$R$11:$R$30)</f>
        <v>1516.49</v>
      </c>
      <c r="I6" s="26" t="n">
        <f aca="false">SUMIF('Policy &amp; Inventory'!$B$11:$B$30,"Decline",'Policy &amp; Inventory'!$S$11:$S$30)</f>
        <v>808.290379291906</v>
      </c>
      <c r="J6" s="8" t="s">
        <v>159</v>
      </c>
    </row>
    <row r="7" customFormat="false" ht="15" hidden="false" customHeight="false" outlineLevel="0" collapsed="false">
      <c r="A7" s="20" t="s">
        <v>134</v>
      </c>
      <c r="B7" s="7" t="n">
        <f aca="false">COUNTIF(Classification!$K$3:$K$22,"Exit")</f>
        <v>3</v>
      </c>
      <c r="C7" s="14" t="n">
        <f aca="false">IFERROR(AVERAGEIF(Classification!$K$3:$K$22,"Exit",Classification!$F$3:$F$22),0)</f>
        <v>0.260304955826114</v>
      </c>
      <c r="D7" s="31" t="n">
        <f aca="false">INDEX('Policy &amp; Inventory'!$B$3:$B$7,MATCH(A7,'Policy &amp; Inventory'!$A$3:$A$7,0))</f>
        <v>0.85</v>
      </c>
      <c r="E7" s="13" t="n">
        <f aca="false">IFERROR(AVERAGEIF('Policy &amp; Inventory'!$B$11:$B$30,"Exit",'Policy &amp; Inventory'!$N$11:$N$30),0)</f>
        <v>10.7716438234975</v>
      </c>
      <c r="F7" s="13" t="n">
        <f aca="false">'Policy &amp; Inventory'!$K$3</f>
        <v>36</v>
      </c>
      <c r="G7" s="13" t="n">
        <f aca="false">SUMIF('Policy &amp; Inventory'!$B$11:$B$30,"Exit",'Policy &amp; Inventory'!$P$11:$P$30)</f>
        <v>57.4660005779332</v>
      </c>
      <c r="H7" s="13" t="n">
        <f aca="false">SUMIF('Policy &amp; Inventory'!$B$11:$B$30,"Exit",'Policy &amp; Inventory'!$R$11:$R$30)</f>
        <v>191.58</v>
      </c>
      <c r="I7" s="26" t="n">
        <f aca="false">SUMIF('Policy &amp; Inventory'!$B$11:$B$30,"Exit",'Policy &amp; Inventory'!$S$11:$S$30)</f>
        <v>134.113999422067</v>
      </c>
      <c r="J7" s="8" t="s">
        <v>160</v>
      </c>
    </row>
    <row r="8" customFormat="false" ht="15" hidden="false" customHeight="false" outlineLevel="0" collapsed="false">
      <c r="A8" s="27" t="s">
        <v>149</v>
      </c>
      <c r="B8" s="32" t="n">
        <f aca="false">SUM(B3:B7)</f>
        <v>20</v>
      </c>
      <c r="C8" s="28"/>
      <c r="D8" s="28"/>
      <c r="E8" s="28"/>
      <c r="F8" s="28"/>
      <c r="G8" s="29" t="n">
        <f aca="false">SUM(G3:G7)</f>
        <v>10534.4255358511</v>
      </c>
      <c r="H8" s="29" t="n">
        <f aca="false">SUM(H3:H7)</f>
        <v>14189.94</v>
      </c>
      <c r="I8" s="30" t="n">
        <f aca="false">SUM(I3:I7)</f>
        <v>3655.51446414892</v>
      </c>
      <c r="J8" s="28"/>
    </row>
    <row r="11" customFormat="false" ht="15" hidden="false" customHeight="false" outlineLevel="0" collapsed="false">
      <c r="A11" s="33" t="s">
        <v>161</v>
      </c>
    </row>
    <row r="12" customFormat="false" ht="15" hidden="false" customHeight="false" outlineLevel="0" collapsed="false">
      <c r="A12" s="34" t="s">
        <v>162</v>
      </c>
      <c r="B12" s="34"/>
      <c r="C12" s="34"/>
      <c r="D12" s="34"/>
      <c r="E12" s="35" t="n">
        <f aca="false">'Policy &amp; Inventory'!$K$3</f>
        <v>36</v>
      </c>
    </row>
    <row r="13" customFormat="false" ht="15" hidden="false" customHeight="false" outlineLevel="0" collapsed="false">
      <c r="A13" s="34" t="s">
        <v>163</v>
      </c>
      <c r="B13" s="34"/>
      <c r="C13" s="34"/>
      <c r="D13" s="34"/>
      <c r="E13" s="35" t="n">
        <f aca="false">SUMPRODUCT('Policy &amp; Inventory'!N11:N30,'Policy &amp; Inventory'!D11:D30)/SUM('Policy &amp; Inventory'!D11:D30)</f>
        <v>26.1580635256294</v>
      </c>
    </row>
    <row r="14" customFormat="false" ht="15" hidden="false" customHeight="false" outlineLevel="0" collapsed="false">
      <c r="A14" s="34" t="s">
        <v>164</v>
      </c>
      <c r="B14" s="34"/>
      <c r="C14" s="34"/>
      <c r="D14" s="34"/>
      <c r="E14" s="35" t="n">
        <f aca="false">SUM('Policy &amp; Inventory'!R11:R30)</f>
        <v>14189.94</v>
      </c>
    </row>
    <row r="15" customFormat="false" ht="15" hidden="false" customHeight="false" outlineLevel="0" collapsed="false">
      <c r="A15" s="34" t="s">
        <v>165</v>
      </c>
      <c r="B15" s="34"/>
      <c r="C15" s="34"/>
      <c r="D15" s="34"/>
      <c r="E15" s="35" t="n">
        <f aca="false">SUM('Policy &amp; Inventory'!P11:P30)</f>
        <v>10534.4255358511</v>
      </c>
    </row>
    <row r="16" customFormat="false" ht="15" hidden="false" customHeight="false" outlineLevel="0" collapsed="false">
      <c r="A16" s="34" t="s">
        <v>166</v>
      </c>
      <c r="B16" s="34"/>
      <c r="C16" s="34"/>
      <c r="D16" s="34"/>
      <c r="E16" s="36" t="n">
        <f aca="false">SUM('Policy &amp; Inventory'!S11:S30)</f>
        <v>3655.51446414892</v>
      </c>
    </row>
    <row r="17" customFormat="false" ht="15" hidden="false" customHeight="false" outlineLevel="0" collapsed="false">
      <c r="A17" s="34" t="s">
        <v>167</v>
      </c>
      <c r="B17" s="34"/>
      <c r="C17" s="34"/>
      <c r="D17" s="34"/>
      <c r="E17" s="37" t="n">
        <f aca="false">SUM('Policy &amp; Inventory'!S11:S30)/SUM('Policy &amp; Inventory'!R11:R30)</f>
        <v>0.257613102250533</v>
      </c>
    </row>
  </sheetData>
  <mergeCells count="6">
    <mergeCell ref="A12:D12"/>
    <mergeCell ref="A13:D13"/>
    <mergeCell ref="A14:D14"/>
    <mergeCell ref="A15:D15"/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2026-08-22T10:31:57Z</dcterms:created>
  <dc:creator>openpyxl</dc:creator>
  <dc:description/>
  <dc:language>en-US</dc:language>
  <cp:lastModifiedBy/>
  <dcterms:modified xsi:type="dcterms:W3CDTF">2026-08-22T10:32:00Z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